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drawings/drawing2.xml" ContentType="application/vnd.openxmlformats-officedocument.drawing+xml"/>
  <Override PartName="/xl/tables/table10.xml" ContentType="application/vnd.openxmlformats-officedocument.spreadsheetml.table+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dumbo/Documents/MyCommunity/product/app/docs/"/>
    </mc:Choice>
  </mc:AlternateContent>
  <xr:revisionPtr revIDLastSave="0" documentId="13_ncr:1_{1ED80D78-A2E9-6A4B-884B-387C39DBEF24}" xr6:coauthVersionLast="47" xr6:coauthVersionMax="47" xr10:uidLastSave="{00000000-0000-0000-0000-000000000000}"/>
  <bookViews>
    <workbookView xWindow="0" yWindow="660" windowWidth="29400" windowHeight="16660" tabRatio="500" activeTab="6" xr2:uid="{00000000-000D-0000-FFFF-FFFF00000000}"/>
  </bookViews>
  <sheets>
    <sheet name="Dashboard" sheetId="1" r:id="rId1"/>
    <sheet name="Phase Tracker" sheetId="2" r:id="rId2"/>
    <sheet name="Milestones" sheetId="3" r:id="rId3"/>
    <sheet name="Epics" sheetId="4" r:id="rId4"/>
    <sheet name="Sprints" sheetId="5" r:id="rId5"/>
    <sheet name="Sprint_Epics" sheetId="6" r:id="rId6"/>
    <sheet name="Stories" sheetId="7" r:id="rId7"/>
    <sheet name="Releases" sheetId="8" r:id="rId8"/>
    <sheet name="Decision_Log" sheetId="9" r:id="rId9"/>
    <sheet name="Risks" sheetId="10" r:id="rId10"/>
    <sheet name="Lookups" sheetId="11" state="hidden" r:id="rId11"/>
    <sheet name="Expenses" sheetId="12" r:id="rId1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 i="12" l="1"/>
  <c r="M7" i="12"/>
  <c r="M6" i="12"/>
  <c r="M5" i="12"/>
  <c r="M3" i="12"/>
  <c r="G3" i="12"/>
  <c r="H3" i="12" s="1"/>
  <c r="M2" i="12" s="1"/>
  <c r="G2" i="12"/>
  <c r="H2" i="12" s="1"/>
  <c r="O125" i="7"/>
  <c r="D125" i="7"/>
  <c r="E125" i="7" s="1"/>
  <c r="O124" i="7"/>
  <c r="D124" i="7"/>
  <c r="E124" i="7" s="1"/>
  <c r="O123" i="7"/>
  <c r="I28" i="5" s="1"/>
  <c r="J28" i="5" s="1"/>
  <c r="D123" i="7"/>
  <c r="E123" i="7" s="1"/>
  <c r="O122" i="7"/>
  <c r="D122" i="7"/>
  <c r="E122" i="7" s="1"/>
  <c r="O121" i="7"/>
  <c r="D121" i="7"/>
  <c r="E121" i="7" s="1"/>
  <c r="O120" i="7"/>
  <c r="E120" i="7"/>
  <c r="D120" i="7"/>
  <c r="O119" i="7"/>
  <c r="E119" i="7"/>
  <c r="D119" i="7"/>
  <c r="O118" i="7"/>
  <c r="E118" i="7"/>
  <c r="D118" i="7"/>
  <c r="O117" i="7"/>
  <c r="D117" i="7"/>
  <c r="E117" i="7" s="1"/>
  <c r="O116" i="7"/>
  <c r="D116" i="7"/>
  <c r="E116" i="7" s="1"/>
  <c r="O115" i="7"/>
  <c r="D115" i="7"/>
  <c r="E115" i="7" s="1"/>
  <c r="O114" i="7"/>
  <c r="D114" i="7"/>
  <c r="E114" i="7" s="1"/>
  <c r="O113" i="7"/>
  <c r="E113" i="7"/>
  <c r="D113" i="7"/>
  <c r="O112" i="7"/>
  <c r="D112" i="7"/>
  <c r="E112" i="7" s="1"/>
  <c r="O111" i="7"/>
  <c r="I24" i="5" s="1"/>
  <c r="J24" i="5" s="1"/>
  <c r="D111" i="7"/>
  <c r="E111" i="7" s="1"/>
  <c r="O110" i="7"/>
  <c r="E110" i="7"/>
  <c r="D110" i="7"/>
  <c r="O109" i="7"/>
  <c r="E109" i="7"/>
  <c r="D109" i="7"/>
  <c r="O108" i="7"/>
  <c r="E108" i="7"/>
  <c r="D108" i="7"/>
  <c r="O107" i="7"/>
  <c r="D107" i="7"/>
  <c r="E107" i="7" s="1"/>
  <c r="O106" i="7"/>
  <c r="D106" i="7"/>
  <c r="E106" i="7" s="1"/>
  <c r="O105" i="7"/>
  <c r="D105" i="7"/>
  <c r="E105" i="7" s="1"/>
  <c r="O104" i="7"/>
  <c r="D104" i="7"/>
  <c r="E104" i="7" s="1"/>
  <c r="O103" i="7"/>
  <c r="I23" i="5" s="1"/>
  <c r="J23" i="5" s="1"/>
  <c r="E103" i="7"/>
  <c r="D103" i="7"/>
  <c r="O102" i="7"/>
  <c r="D102" i="7"/>
  <c r="E102" i="7" s="1"/>
  <c r="O101" i="7"/>
  <c r="I22" i="5" s="1"/>
  <c r="J22" i="5" s="1"/>
  <c r="D101" i="7"/>
  <c r="E101" i="7" s="1"/>
  <c r="O100" i="7"/>
  <c r="E100" i="7"/>
  <c r="D100" i="7"/>
  <c r="O99" i="7"/>
  <c r="E99" i="7"/>
  <c r="D99" i="7"/>
  <c r="O98" i="7"/>
  <c r="E98" i="7"/>
  <c r="D98" i="7"/>
  <c r="O97" i="7"/>
  <c r="D97" i="7"/>
  <c r="E97" i="7" s="1"/>
  <c r="O96" i="7"/>
  <c r="I21" i="5" s="1"/>
  <c r="J21" i="5" s="1"/>
  <c r="D96" i="7"/>
  <c r="E96" i="7" s="1"/>
  <c r="O95" i="7"/>
  <c r="D95" i="7"/>
  <c r="E95" i="7" s="1"/>
  <c r="O94" i="7"/>
  <c r="D94" i="7"/>
  <c r="E94" i="7" s="1"/>
  <c r="O93" i="7"/>
  <c r="I20" i="5" s="1"/>
  <c r="J20" i="5" s="1"/>
  <c r="E93" i="7"/>
  <c r="D93" i="7"/>
  <c r="O92" i="7"/>
  <c r="D92" i="7"/>
  <c r="E92" i="7" s="1"/>
  <c r="O91" i="7"/>
  <c r="D91" i="7"/>
  <c r="E91" i="7" s="1"/>
  <c r="O90" i="7"/>
  <c r="E90" i="7"/>
  <c r="D90" i="7"/>
  <c r="O89" i="7"/>
  <c r="E89" i="7"/>
  <c r="D89" i="7"/>
  <c r="O88" i="7"/>
  <c r="E88" i="7"/>
  <c r="D88" i="7"/>
  <c r="O87" i="7"/>
  <c r="D87" i="7"/>
  <c r="E87" i="7" s="1"/>
  <c r="O86" i="7"/>
  <c r="J59" i="4" s="1"/>
  <c r="K59" i="4" s="1"/>
  <c r="D86" i="7"/>
  <c r="E86" i="7" s="1"/>
  <c r="O85" i="7"/>
  <c r="D85" i="7"/>
  <c r="E85" i="7" s="1"/>
  <c r="O84" i="7"/>
  <c r="D84" i="7"/>
  <c r="E84" i="7" s="1"/>
  <c r="O83" i="7"/>
  <c r="E83" i="7"/>
  <c r="D83" i="7"/>
  <c r="O82" i="7"/>
  <c r="D82" i="7"/>
  <c r="E82" i="7" s="1"/>
  <c r="O81" i="7"/>
  <c r="D81" i="7"/>
  <c r="E81" i="7" s="1"/>
  <c r="O80" i="7"/>
  <c r="E80" i="7"/>
  <c r="D80" i="7"/>
  <c r="O79" i="7"/>
  <c r="E79" i="7"/>
  <c r="D79" i="7"/>
  <c r="O78" i="7"/>
  <c r="E78" i="7"/>
  <c r="D78" i="7"/>
  <c r="O77" i="7"/>
  <c r="D77" i="7"/>
  <c r="E77" i="7" s="1"/>
  <c r="O76" i="7"/>
  <c r="J24" i="4" s="1"/>
  <c r="K24" i="4" s="1"/>
  <c r="D76" i="7"/>
  <c r="E76" i="7" s="1"/>
  <c r="O75" i="7"/>
  <c r="D75" i="7"/>
  <c r="E75" i="7" s="1"/>
  <c r="O74" i="7"/>
  <c r="D74" i="7"/>
  <c r="E74" i="7" s="1"/>
  <c r="O73" i="7"/>
  <c r="E73" i="7"/>
  <c r="D73" i="7"/>
  <c r="O72" i="7"/>
  <c r="D72" i="7"/>
  <c r="E72" i="7" s="1"/>
  <c r="O71" i="7"/>
  <c r="I14" i="5" s="1"/>
  <c r="J14" i="5" s="1"/>
  <c r="D71" i="7"/>
  <c r="E71" i="7" s="1"/>
  <c r="O70" i="7"/>
  <c r="E70" i="7"/>
  <c r="D70" i="7"/>
  <c r="O69" i="7"/>
  <c r="E69" i="7"/>
  <c r="D69" i="7"/>
  <c r="O68" i="7"/>
  <c r="E68" i="7"/>
  <c r="D68" i="7"/>
  <c r="O67" i="7"/>
  <c r="D67" i="7"/>
  <c r="E67" i="7" s="1"/>
  <c r="O66" i="7"/>
  <c r="D66" i="7"/>
  <c r="E66" i="7" s="1"/>
  <c r="O65" i="7"/>
  <c r="D65" i="7"/>
  <c r="E65" i="7" s="1"/>
  <c r="O64" i="7"/>
  <c r="D64" i="7"/>
  <c r="E64" i="7" s="1"/>
  <c r="O63" i="7"/>
  <c r="E63" i="7"/>
  <c r="D63" i="7"/>
  <c r="O62" i="7"/>
  <c r="D62" i="7"/>
  <c r="E62" i="7" s="1"/>
  <c r="O61" i="7"/>
  <c r="D61" i="7"/>
  <c r="E61" i="7" s="1"/>
  <c r="O60" i="7"/>
  <c r="E60" i="7"/>
  <c r="D60" i="7"/>
  <c r="O59" i="7"/>
  <c r="E59" i="7"/>
  <c r="D59" i="7"/>
  <c r="O58" i="7"/>
  <c r="E58" i="7"/>
  <c r="D58" i="7"/>
  <c r="O57" i="7"/>
  <c r="D57" i="7"/>
  <c r="E57" i="7" s="1"/>
  <c r="O56" i="7"/>
  <c r="I11" i="5" s="1"/>
  <c r="J11" i="5" s="1"/>
  <c r="D56" i="7"/>
  <c r="E56" i="7" s="1"/>
  <c r="O55" i="7"/>
  <c r="D55" i="7"/>
  <c r="E55" i="7" s="1"/>
  <c r="O54" i="7"/>
  <c r="D54" i="7"/>
  <c r="E54" i="7" s="1"/>
  <c r="O53" i="7"/>
  <c r="E53" i="7"/>
  <c r="D53" i="7"/>
  <c r="O52" i="7"/>
  <c r="D52" i="7"/>
  <c r="E52" i="7" s="1"/>
  <c r="O51" i="7"/>
  <c r="I10" i="5" s="1"/>
  <c r="J10" i="5" s="1"/>
  <c r="D51" i="7"/>
  <c r="E51" i="7" s="1"/>
  <c r="O50" i="7"/>
  <c r="E50" i="7"/>
  <c r="D50" i="7"/>
  <c r="O49" i="7"/>
  <c r="E49" i="7"/>
  <c r="D49" i="7"/>
  <c r="O48" i="7"/>
  <c r="E48" i="7"/>
  <c r="D48" i="7"/>
  <c r="O47" i="7"/>
  <c r="D47" i="7"/>
  <c r="E47" i="7" s="1"/>
  <c r="O46" i="7"/>
  <c r="D46" i="7"/>
  <c r="E46" i="7" s="1"/>
  <c r="O45" i="7"/>
  <c r="D45" i="7"/>
  <c r="E45" i="7" s="1"/>
  <c r="O44" i="7"/>
  <c r="D44" i="7"/>
  <c r="E44" i="7" s="1"/>
  <c r="O43" i="7"/>
  <c r="I8" i="5" s="1"/>
  <c r="J8" i="5" s="1"/>
  <c r="E43" i="7"/>
  <c r="D43" i="7"/>
  <c r="O42" i="7"/>
  <c r="D42" i="7"/>
  <c r="E42" i="7" s="1"/>
  <c r="O41" i="7"/>
  <c r="D41" i="7"/>
  <c r="E41" i="7" s="1"/>
  <c r="O40" i="7"/>
  <c r="E40" i="7"/>
  <c r="D40" i="7"/>
  <c r="O39" i="7"/>
  <c r="E39" i="7"/>
  <c r="D39" i="7"/>
  <c r="O38" i="7"/>
  <c r="E38" i="7"/>
  <c r="D38" i="7"/>
  <c r="O37" i="7"/>
  <c r="D37" i="7"/>
  <c r="E37" i="7" s="1"/>
  <c r="O36" i="7"/>
  <c r="D36" i="7"/>
  <c r="E36" i="7" s="1"/>
  <c r="O35" i="7"/>
  <c r="D35" i="7"/>
  <c r="E35" i="7" s="1"/>
  <c r="O34" i="7"/>
  <c r="D34" i="7"/>
  <c r="E34" i="7" s="1"/>
  <c r="O33" i="7"/>
  <c r="E33" i="7"/>
  <c r="D33" i="7"/>
  <c r="O32" i="7"/>
  <c r="D32" i="7"/>
  <c r="E32" i="7" s="1"/>
  <c r="O31" i="7"/>
  <c r="D31" i="7"/>
  <c r="E31" i="7" s="1"/>
  <c r="O30" i="7"/>
  <c r="E30" i="7"/>
  <c r="D30" i="7"/>
  <c r="O29" i="7"/>
  <c r="E29" i="7"/>
  <c r="D29" i="7"/>
  <c r="O28" i="7"/>
  <c r="E28" i="7"/>
  <c r="D28" i="7"/>
  <c r="O27" i="7"/>
  <c r="D27" i="7"/>
  <c r="E27" i="7" s="1"/>
  <c r="O26" i="7"/>
  <c r="D26" i="7"/>
  <c r="E26" i="7" s="1"/>
  <c r="O25" i="7"/>
  <c r="D25" i="7"/>
  <c r="E25" i="7" s="1"/>
  <c r="O24" i="7"/>
  <c r="D24" i="7"/>
  <c r="E24" i="7" s="1"/>
  <c r="O23" i="7"/>
  <c r="J39" i="4" s="1"/>
  <c r="E23" i="7"/>
  <c r="D23" i="7"/>
  <c r="O22" i="7"/>
  <c r="D22" i="7"/>
  <c r="E22" i="7" s="1"/>
  <c r="O21" i="7"/>
  <c r="J4" i="4" s="1"/>
  <c r="K4" i="4" s="1"/>
  <c r="D21" i="7"/>
  <c r="E21" i="7" s="1"/>
  <c r="O20" i="7"/>
  <c r="E20" i="7"/>
  <c r="D20" i="7"/>
  <c r="O19" i="7"/>
  <c r="E19" i="7"/>
  <c r="D19" i="7"/>
  <c r="O18" i="7"/>
  <c r="E18" i="7"/>
  <c r="D18" i="7"/>
  <c r="O17" i="7"/>
  <c r="D17" i="7"/>
  <c r="E17" i="7" s="1"/>
  <c r="O16" i="7"/>
  <c r="D16" i="7"/>
  <c r="E16" i="7" s="1"/>
  <c r="O15" i="7"/>
  <c r="D15" i="7"/>
  <c r="E15" i="7" s="1"/>
  <c r="O14" i="7"/>
  <c r="D14" i="7"/>
  <c r="E14" i="7" s="1"/>
  <c r="O13" i="7"/>
  <c r="E13" i="7"/>
  <c r="D13" i="7"/>
  <c r="O12" i="7"/>
  <c r="D12" i="7"/>
  <c r="E12" i="7" s="1"/>
  <c r="O11" i="7"/>
  <c r="D11" i="7"/>
  <c r="E11" i="7" s="1"/>
  <c r="O10" i="7"/>
  <c r="E10" i="7"/>
  <c r="D10" i="7"/>
  <c r="O9" i="7"/>
  <c r="E9" i="7"/>
  <c r="D9" i="7"/>
  <c r="O8" i="7"/>
  <c r="E8" i="7"/>
  <c r="D8" i="7"/>
  <c r="O7" i="7"/>
  <c r="D7" i="7"/>
  <c r="E7" i="7" s="1"/>
  <c r="O6" i="7"/>
  <c r="D6" i="7"/>
  <c r="E6" i="7" s="1"/>
  <c r="O5" i="7"/>
  <c r="D5" i="7"/>
  <c r="E5" i="7" s="1"/>
  <c r="O4" i="7"/>
  <c r="D4" i="7"/>
  <c r="E4" i="7" s="1"/>
  <c r="O3" i="7"/>
  <c r="E3" i="7"/>
  <c r="D3" i="7"/>
  <c r="O2" i="7"/>
  <c r="D2" i="7"/>
  <c r="E2" i="7" s="1"/>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 i="6"/>
  <c r="C9" i="6"/>
  <c r="C8" i="6"/>
  <c r="C7" i="6"/>
  <c r="C6" i="6"/>
  <c r="C5" i="6"/>
  <c r="C4" i="6"/>
  <c r="C3" i="6"/>
  <c r="C2" i="6"/>
  <c r="L27" i="5" s="1" a="1"/>
  <c r="L27" i="5" s="1"/>
  <c r="I29" i="5"/>
  <c r="J29" i="5" s="1"/>
  <c r="H29" i="5"/>
  <c r="K28" i="5" a="1"/>
  <c r="K28" i="5" s="1"/>
  <c r="H28" i="5"/>
  <c r="I27" i="5"/>
  <c r="J27" i="5" s="1"/>
  <c r="H27" i="5"/>
  <c r="J26" i="5"/>
  <c r="I26" i="5"/>
  <c r="H26" i="5"/>
  <c r="I25" i="5"/>
  <c r="J25" i="5" s="1"/>
  <c r="H25" i="5"/>
  <c r="L24" i="5" a="1"/>
  <c r="L24" i="5" s="1"/>
  <c r="H24" i="5"/>
  <c r="H23" i="5"/>
  <c r="L22" i="5" a="1"/>
  <c r="L22" i="5" s="1"/>
  <c r="H22" i="5"/>
  <c r="H21" i="5"/>
  <c r="K20" i="5" a="1"/>
  <c r="K20" i="5" s="1"/>
  <c r="H20" i="5"/>
  <c r="I19" i="5"/>
  <c r="J19" i="5" s="1"/>
  <c r="H19" i="5"/>
  <c r="K18" i="5" a="1"/>
  <c r="K18" i="5" s="1"/>
  <c r="H18" i="5"/>
  <c r="I17" i="5"/>
  <c r="J17" i="5" s="1"/>
  <c r="H17" i="5"/>
  <c r="J16" i="5"/>
  <c r="I16" i="5"/>
  <c r="H16" i="5"/>
  <c r="I15" i="5"/>
  <c r="J15" i="5" s="1"/>
  <c r="H15" i="5"/>
  <c r="L14" i="5" a="1"/>
  <c r="L14" i="5" s="1"/>
  <c r="H14" i="5"/>
  <c r="J13" i="5"/>
  <c r="I13" i="5"/>
  <c r="H13" i="5"/>
  <c r="L12" i="5" a="1"/>
  <c r="L12" i="5" s="1"/>
  <c r="I12" i="5"/>
  <c r="J12" i="5" s="1"/>
  <c r="H12" i="5"/>
  <c r="H11" i="5"/>
  <c r="L10" i="5" a="1"/>
  <c r="L10" i="5"/>
  <c r="K10" i="5" a="1"/>
  <c r="K10" i="5" s="1"/>
  <c r="H10" i="5"/>
  <c r="I9" i="5"/>
  <c r="J9" i="5" s="1"/>
  <c r="H9" i="5"/>
  <c r="K8" i="5" a="1"/>
  <c r="K8" i="5" s="1"/>
  <c r="H8" i="5"/>
  <c r="L7" i="5" a="1"/>
  <c r="L7" i="5"/>
  <c r="I7" i="5"/>
  <c r="J7" i="5" s="1"/>
  <c r="H7" i="5"/>
  <c r="K6" i="5" a="1"/>
  <c r="K6" i="5"/>
  <c r="I6" i="5"/>
  <c r="J6" i="5" s="1"/>
  <c r="H6" i="5"/>
  <c r="I5" i="5"/>
  <c r="J5" i="5" s="1"/>
  <c r="H5" i="5"/>
  <c r="L4" i="5" a="1"/>
  <c r="L4" i="5"/>
  <c r="J4" i="5"/>
  <c r="I4" i="5"/>
  <c r="H4" i="5"/>
  <c r="K3" i="5" a="1"/>
  <c r="K3" i="5"/>
  <c r="I3" i="5"/>
  <c r="J3" i="5" s="1"/>
  <c r="H3" i="5"/>
  <c r="L2" i="5" a="1"/>
  <c r="L2" i="5" s="1"/>
  <c r="I2" i="5"/>
  <c r="H2" i="5"/>
  <c r="J61" i="4"/>
  <c r="K61" i="4" s="1"/>
  <c r="J60" i="4"/>
  <c r="K60" i="4" s="1"/>
  <c r="K58" i="4"/>
  <c r="J58" i="4"/>
  <c r="J25" i="3" s="1"/>
  <c r="J57" i="4"/>
  <c r="K57" i="4" s="1"/>
  <c r="K56" i="4"/>
  <c r="J56" i="4"/>
  <c r="J24" i="3" s="1"/>
  <c r="J55" i="4"/>
  <c r="K55" i="4" s="1"/>
  <c r="K54" i="4"/>
  <c r="J54" i="4"/>
  <c r="J53" i="4"/>
  <c r="K53" i="4" s="1"/>
  <c r="J52" i="4"/>
  <c r="K52" i="4" s="1"/>
  <c r="J51" i="4"/>
  <c r="K51" i="4" s="1"/>
  <c r="J50" i="4"/>
  <c r="K50" i="4" s="1"/>
  <c r="K49" i="4"/>
  <c r="J49" i="4"/>
  <c r="J48" i="4"/>
  <c r="K48" i="4" s="1"/>
  <c r="J47" i="4"/>
  <c r="K47" i="4" s="1"/>
  <c r="J46" i="4"/>
  <c r="J19" i="3" s="1"/>
  <c r="J45" i="4"/>
  <c r="K45" i="4" s="1"/>
  <c r="K44" i="4"/>
  <c r="J44" i="4"/>
  <c r="J43" i="4"/>
  <c r="K43" i="4" s="1"/>
  <c r="K17" i="3" s="1"/>
  <c r="J42" i="4"/>
  <c r="K42" i="4" s="1"/>
  <c r="J41" i="4"/>
  <c r="K41" i="4" s="1"/>
  <c r="J40" i="4"/>
  <c r="K40" i="4" s="1"/>
  <c r="J38" i="4"/>
  <c r="K38" i="4" s="1"/>
  <c r="J37" i="4"/>
  <c r="K37" i="4" s="1"/>
  <c r="J36" i="4"/>
  <c r="J14" i="3" s="1"/>
  <c r="J35" i="4"/>
  <c r="K35" i="4" s="1"/>
  <c r="K34" i="4"/>
  <c r="J34" i="4"/>
  <c r="J33" i="4"/>
  <c r="J32" i="4"/>
  <c r="K32" i="4" s="1"/>
  <c r="K31" i="4"/>
  <c r="J31" i="4"/>
  <c r="J12" i="3" s="1"/>
  <c r="J30" i="4"/>
  <c r="K30" i="4" s="1"/>
  <c r="J28" i="4"/>
  <c r="K28" i="4" s="1"/>
  <c r="J27" i="4"/>
  <c r="K27" i="4" s="1"/>
  <c r="J26" i="4"/>
  <c r="J10" i="3" s="1"/>
  <c r="J25" i="4"/>
  <c r="K25" i="4" s="1"/>
  <c r="J23" i="4"/>
  <c r="J9" i="3" s="1"/>
  <c r="J22" i="4"/>
  <c r="K22" i="4" s="1"/>
  <c r="K21" i="4"/>
  <c r="J21" i="4"/>
  <c r="J20" i="4"/>
  <c r="K20" i="4" s="1"/>
  <c r="K19" i="4"/>
  <c r="J19" i="4"/>
  <c r="J18" i="4"/>
  <c r="K18" i="4" s="1"/>
  <c r="J17" i="4"/>
  <c r="K17" i="4" s="1"/>
  <c r="K7" i="3" s="1"/>
  <c r="K16" i="4"/>
  <c r="J16" i="4"/>
  <c r="J15" i="4"/>
  <c r="K15" i="4" s="1"/>
  <c r="K14" i="4"/>
  <c r="J14" i="4"/>
  <c r="J13" i="4"/>
  <c r="K13" i="4" s="1"/>
  <c r="J12" i="4"/>
  <c r="K12" i="4" s="1"/>
  <c r="J11" i="4"/>
  <c r="J5" i="3" s="1"/>
  <c r="J10" i="4"/>
  <c r="K10" i="4" s="1"/>
  <c r="K9" i="4"/>
  <c r="J9" i="4"/>
  <c r="J8" i="4"/>
  <c r="K8" i="4" s="1"/>
  <c r="J7" i="4"/>
  <c r="K7" i="4" s="1"/>
  <c r="J6" i="4"/>
  <c r="K6" i="4" s="1"/>
  <c r="J5" i="4"/>
  <c r="K5" i="4" s="1"/>
  <c r="J3" i="4"/>
  <c r="J3" i="3" s="1"/>
  <c r="J2" i="4"/>
  <c r="K2" i="4" s="1"/>
  <c r="D20" i="1"/>
  <c r="B20" i="1"/>
  <c r="B19" i="1"/>
  <c r="D19" i="1" s="1"/>
  <c r="B15" i="1"/>
  <c r="C14" i="1" s="1"/>
  <c r="D14" i="1"/>
  <c r="B14" i="1"/>
  <c r="G13" i="1"/>
  <c r="F13" i="1"/>
  <c r="C13" i="1"/>
  <c r="G12" i="1"/>
  <c r="F12" i="1"/>
  <c r="C12" i="1"/>
  <c r="G11" i="1"/>
  <c r="F11" i="1"/>
  <c r="C11" i="1"/>
  <c r="B11" i="1"/>
  <c r="D11" i="1" s="1"/>
  <c r="J10" i="1"/>
  <c r="G10" i="1"/>
  <c r="F10" i="1"/>
  <c r="J9" i="1"/>
  <c r="G9" i="1"/>
  <c r="F9" i="1"/>
  <c r="J8" i="1"/>
  <c r="G8" i="1"/>
  <c r="F8" i="1"/>
  <c r="B8" i="1"/>
  <c r="J7" i="1"/>
  <c r="B7" i="1"/>
  <c r="L24" i="3"/>
  <c r="L23" i="3"/>
  <c r="L22" i="3"/>
  <c r="L20" i="3"/>
  <c r="J20" i="3"/>
  <c r="K20" i="3" s="1"/>
  <c r="L17" i="3"/>
  <c r="J17" i="3"/>
  <c r="L16" i="3"/>
  <c r="J16" i="3"/>
  <c r="L14" i="3"/>
  <c r="L13" i="3"/>
  <c r="L12" i="3"/>
  <c r="L10" i="3"/>
  <c r="L7" i="3"/>
  <c r="J7" i="3"/>
  <c r="L6" i="3"/>
  <c r="J6" i="3"/>
  <c r="L4" i="3"/>
  <c r="J4" i="3"/>
  <c r="L3" i="3"/>
  <c r="L2" i="3"/>
  <c r="K36" i="4" l="1"/>
  <c r="K14" i="3" s="1"/>
  <c r="H5" i="12"/>
  <c r="B24" i="1" s="1"/>
  <c r="M4" i="12"/>
  <c r="K46" i="4"/>
  <c r="K19" i="3" s="1"/>
  <c r="K2" i="3"/>
  <c r="K26" i="4"/>
  <c r="K10" i="3" s="1"/>
  <c r="K12" i="3"/>
  <c r="B10" i="1"/>
  <c r="B18" i="1" s="1"/>
  <c r="J13" i="3"/>
  <c r="K11" i="4"/>
  <c r="K5" i="3" s="1"/>
  <c r="K25" i="3"/>
  <c r="G2" i="8" s="1"/>
  <c r="B16" i="1" s="1"/>
  <c r="K22" i="3"/>
  <c r="K6" i="3"/>
  <c r="K4" i="3"/>
  <c r="B21" i="1"/>
  <c r="D21" i="1" s="1"/>
  <c r="D7" i="1"/>
  <c r="K16" i="3"/>
  <c r="K24" i="3"/>
  <c r="K39" i="4"/>
  <c r="J15" i="3"/>
  <c r="L3" i="5" a="1"/>
  <c r="L3" i="5" s="1"/>
  <c r="K9" i="5" a="1"/>
  <c r="K9" i="5" s="1"/>
  <c r="L13" i="5" a="1"/>
  <c r="L13" i="5" s="1"/>
  <c r="I18" i="5"/>
  <c r="J18" i="5" s="1"/>
  <c r="K19" i="5" a="1"/>
  <c r="K19" i="5" s="1"/>
  <c r="L23" i="5" a="1"/>
  <c r="L23" i="5" s="1"/>
  <c r="K29" i="5" a="1"/>
  <c r="K29" i="5" s="1"/>
  <c r="J8" i="3"/>
  <c r="K8" i="3" s="1"/>
  <c r="J2" i="5"/>
  <c r="K26" i="5" a="1"/>
  <c r="K26" i="5" s="1"/>
  <c r="L11" i="3"/>
  <c r="L21" i="3"/>
  <c r="K3" i="4"/>
  <c r="K3" i="3" s="1"/>
  <c r="K23" i="4"/>
  <c r="K9" i="3" s="1"/>
  <c r="K33" i="4"/>
  <c r="J2" i="3"/>
  <c r="B9" i="1" s="1"/>
  <c r="L8" i="3"/>
  <c r="L18" i="3"/>
  <c r="J22" i="3"/>
  <c r="J29" i="4"/>
  <c r="K2" i="5" a="1"/>
  <c r="K2" i="5" s="1"/>
  <c r="L6" i="5" a="1"/>
  <c r="L6" i="5" s="1"/>
  <c r="K12" i="5" a="1"/>
  <c r="K12" i="5" s="1"/>
  <c r="L16" i="5" a="1"/>
  <c r="L16" i="5" s="1"/>
  <c r="K22" i="5" a="1"/>
  <c r="K22" i="5" s="1"/>
  <c r="L26" i="5" a="1"/>
  <c r="L26" i="5" s="1"/>
  <c r="J21" i="3"/>
  <c r="K21" i="3" s="1"/>
  <c r="J18" i="3"/>
  <c r="K18" i="3" s="1"/>
  <c r="K16" i="5" a="1"/>
  <c r="K16" i="5" s="1"/>
  <c r="L20" i="5" a="1"/>
  <c r="L20" i="5" s="1"/>
  <c r="L5" i="3"/>
  <c r="L15" i="3"/>
  <c r="L25" i="3"/>
  <c r="K5" i="5" a="1"/>
  <c r="K5" i="5" s="1"/>
  <c r="L9" i="5" a="1"/>
  <c r="L9" i="5" s="1"/>
  <c r="K15" i="5" a="1"/>
  <c r="K15" i="5" s="1"/>
  <c r="L19" i="5" a="1"/>
  <c r="L19" i="5" s="1"/>
  <c r="K25" i="5" a="1"/>
  <c r="K25" i="5" s="1"/>
  <c r="L29" i="5" a="1"/>
  <c r="L29" i="5" s="1"/>
  <c r="L9" i="3"/>
  <c r="L19" i="3"/>
  <c r="J23" i="3"/>
  <c r="K23" i="3" s="1"/>
  <c r="L5" i="5" a="1"/>
  <c r="L5" i="5" s="1"/>
  <c r="K11" i="5" a="1"/>
  <c r="K11" i="5" s="1"/>
  <c r="L15" i="5" a="1"/>
  <c r="L15" i="5" s="1"/>
  <c r="K21" i="5" a="1"/>
  <c r="K21" i="5" s="1"/>
  <c r="L25" i="5" a="1"/>
  <c r="L25" i="5" s="1"/>
  <c r="K4" i="5" a="1"/>
  <c r="K4" i="5" s="1"/>
  <c r="L8" i="5" a="1"/>
  <c r="L8" i="5" s="1"/>
  <c r="K14" i="5" a="1"/>
  <c r="K14" i="5" s="1"/>
  <c r="L18" i="5" a="1"/>
  <c r="L18" i="5" s="1"/>
  <c r="K24" i="5" a="1"/>
  <c r="K24" i="5" s="1"/>
  <c r="L28" i="5" a="1"/>
  <c r="L28" i="5" s="1"/>
  <c r="K7" i="5" a="1"/>
  <c r="K7" i="5" s="1"/>
  <c r="L11" i="5" a="1"/>
  <c r="L11" i="5" s="1"/>
  <c r="K17" i="5" a="1"/>
  <c r="K17" i="5" s="1"/>
  <c r="L21" i="5" a="1"/>
  <c r="L21" i="5" s="1"/>
  <c r="K27" i="5" a="1"/>
  <c r="K27" i="5" s="1"/>
  <c r="K13" i="5" a="1"/>
  <c r="K13" i="5" s="1"/>
  <c r="L17" i="5" a="1"/>
  <c r="L17" i="5" s="1"/>
  <c r="K23" i="5" a="1"/>
  <c r="K23" i="5" s="1"/>
  <c r="K15" i="3" l="1"/>
  <c r="J11" i="3"/>
  <c r="K29" i="4"/>
  <c r="K11" i="3" s="1"/>
  <c r="B17" i="1" s="1"/>
  <c r="B13" i="1"/>
  <c r="D13" i="1" s="1"/>
  <c r="K13" i="3"/>
  <c r="B12" i="1" l="1"/>
  <c r="D1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L2" authorId="0" shapeId="0" xr:uid="{00000000-0006-0000-0200-000001000000}">
      <text>
        <r>
          <rPr>
            <sz val="11"/>
            <color theme="1"/>
            <rFont val="Calibri"/>
            <family val="2"/>
            <charset val="1"/>
          </rPr>
          <t>Preserved historical total logged before per-story hour tracking existed. Will switch automatically to the SUM of Stories!Actual Hours once those are populated.</t>
        </r>
      </text>
    </comment>
  </commentList>
</comments>
</file>

<file path=xl/sharedStrings.xml><?xml version="1.0" encoding="utf-8"?>
<sst xmlns="http://schemas.openxmlformats.org/spreadsheetml/2006/main" count="1806" uniqueCount="913">
  <si>
    <t>Sr No</t>
  </si>
  <si>
    <t>ID</t>
  </si>
  <si>
    <t>Phase ID</t>
  </si>
  <si>
    <t>Milestone</t>
  </si>
  <si>
    <t>Description</t>
  </si>
  <si>
    <t>Start Date</t>
  </si>
  <si>
    <t>Target Date</t>
  </si>
  <si>
    <t>Actual Completion</t>
  </si>
  <si>
    <t>Owner</t>
  </si>
  <si>
    <t>Progress %</t>
  </si>
  <si>
    <t>Status</t>
  </si>
  <si>
    <t>Hours Spent</t>
  </si>
  <si>
    <t>ML1</t>
  </si>
  <si>
    <t>PH1</t>
  </si>
  <si>
    <t>Backend Foundation</t>
  </si>
  <si>
    <t>Establish the production-ready backend platform, engineering standards, tooling, testing, documentation, and shared infrastructure.</t>
  </si>
  <si>
    <t>Shri</t>
  </si>
  <si>
    <t>ML2</t>
  </si>
  <si>
    <t>PH2</t>
  </si>
  <si>
    <t>Identity &amp; Authentication</t>
  </si>
  <si>
    <t>Implement secure registration, login, authentication, authorization, and session management.</t>
  </si>
  <si>
    <t>ML3</t>
  </si>
  <si>
    <t>Resident Verification</t>
  </si>
  <si>
    <t>Implement email, mobile, community, and resident verification workflows.</t>
  </si>
  <si>
    <t>ML4</t>
  </si>
  <si>
    <t>Resident Profile</t>
  </si>
  <si>
    <t>Build resident profiles, preferences, privacy settings, and account management.</t>
  </si>
  <si>
    <t>ML5</t>
  </si>
  <si>
    <t>Community Foundation</t>
  </si>
  <si>
    <t>Implement community management, membership, invitations, roles, and administration.</t>
  </si>
  <si>
    <t>ML6</t>
  </si>
  <si>
    <t>Community Feed</t>
  </si>
  <si>
    <t>Enable posts, comments, reactions, attachments, hashtags, and mentions.</t>
  </si>
  <si>
    <t>ML7</t>
  </si>
  <si>
    <t>Community Engagement</t>
  </si>
  <si>
    <t>Implement announcements, quick reactions, bookmarks, reporting, and engagement enhancements.</t>
  </si>
  <si>
    <t>ML8</t>
  </si>
  <si>
    <t>Community Events</t>
  </si>
  <si>
    <t>Build event creation, discovery, RSVPs, attendance, and event management.</t>
  </si>
  <si>
    <t>ML9</t>
  </si>
  <si>
    <t>Help &amp; Humanity</t>
  </si>
  <si>
    <t>Deliver Help Requests, Lost &amp; Found, Blood Donation, Emergency Assistance, and Volunteer support.</t>
  </si>
  <si>
    <t>ML10</t>
  </si>
  <si>
    <t>Notifications</t>
  </si>
  <si>
    <t>Implement push notifications, in-app notifications, notification preferences, and delivery tracking.</t>
  </si>
  <si>
    <t>ML11</t>
  </si>
  <si>
    <t>Search &amp; Discovery</t>
  </si>
  <si>
    <t>Implement global search, filtering, sorting, and content discovery across supported modules.</t>
  </si>
  <si>
    <t>ML12</t>
  </si>
  <si>
    <t>Moderation &amp; Trust</t>
  </si>
  <si>
    <t>Implement reporting, moderation workflows, warnings, suspensions, bans, and audit support.</t>
  </si>
  <si>
    <t>ML13</t>
  </si>
  <si>
    <t>Administration Portal</t>
  </si>
  <si>
    <t>Develop administrative tools, dashboards, feature flags, system configuration, and audit management.</t>
  </si>
  <si>
    <t>ML14</t>
  </si>
  <si>
    <t>Flutter Application Foundation</t>
  </si>
  <si>
    <t>Establish Flutter architecture, routing, localization, theming, state management, and shared UI components.</t>
  </si>
  <si>
    <t>ML15</t>
  </si>
  <si>
    <t>Flutter Authentication</t>
  </si>
  <si>
    <t>Implement authentication and onboarding experience in the mobile application.</t>
  </si>
  <si>
    <t>ML16</t>
  </si>
  <si>
    <t>Flutter Community Experience</t>
  </si>
  <si>
    <t>Implement community, profile, and feed features in the mobile application.</t>
  </si>
  <si>
    <t>ML17</t>
  </si>
  <si>
    <t>Flutter Events &amp; Notifications</t>
  </si>
  <si>
    <t>Implement events, notifications, and remaining MVP user experiences.</t>
  </si>
  <si>
    <t>ML18</t>
  </si>
  <si>
    <t>Media &amp; File Management</t>
  </si>
  <si>
    <t>Implement image upload, storage integration, optimization, and media management services.</t>
  </si>
  <si>
    <t>ML19</t>
  </si>
  <si>
    <t>Background Processing</t>
  </si>
  <si>
    <t>Implement background jobs, scheduled tasks, notification processing, and asynchronous workflows.</t>
  </si>
  <si>
    <t>ML20</t>
  </si>
  <si>
    <t>PH3</t>
  </si>
  <si>
    <t>Performance Optimization</t>
  </si>
  <si>
    <t>Optimize database queries, caching, API performance, mobile responsiveness, and scalability.</t>
  </si>
  <si>
    <t>ML21</t>
  </si>
  <si>
    <t>Security Hardening</t>
  </si>
  <si>
    <t>Complete security validation, penetration readiness, compliance checks, rate limiting, and security enhancements.</t>
  </si>
  <si>
    <t>ML22</t>
  </si>
  <si>
    <t>DevOps &amp; Deployment</t>
  </si>
  <si>
    <t>Finalize CI/CD, infrastructure configuration, monitoring, backups, environment management, and deployment automation.</t>
  </si>
  <si>
    <t>ML23</t>
  </si>
  <si>
    <t>Quality Assurance &amp; Release Readiness</t>
  </si>
  <si>
    <t>Complete end-to-end testing, UAT, bug fixing, documentation review, and production validation.</t>
  </si>
  <si>
    <t>ML24</t>
  </si>
  <si>
    <t>PH4</t>
  </si>
  <si>
    <t>MVP Release v1.0</t>
  </si>
  <si>
    <t>Deliver the first production-ready release of MyCommunity with all approved MVP functionality deployed and documented.</t>
  </si>
  <si>
    <t>MyCommunity — Project Dashboard</t>
  </si>
  <si>
    <t>Live rollup from Phase Tracker, Milestones, Epics, Sprints, Stories, Releases &amp; Risks. Nothing here needs manual updating.</t>
  </si>
  <si>
    <t>→ Phase Tracker</t>
  </si>
  <si>
    <t>→ Milestones</t>
  </si>
  <si>
    <t>→ Epics</t>
  </si>
  <si>
    <t>→ Sprints</t>
  </si>
  <si>
    <t>→ Stories</t>
  </si>
  <si>
    <t>→ Releases</t>
  </si>
  <si>
    <t>→ Risks</t>
  </si>
  <si>
    <t>→ Decision_Log</t>
  </si>
  <si>
    <t>Metric</t>
  </si>
  <si>
    <t>Value</t>
  </si>
  <si>
    <t>Target</t>
  </si>
  <si>
    <t>Chart Data — Phase Progress</t>
  </si>
  <si>
    <t>Chart Data — Story Status</t>
  </si>
  <si>
    <t>Overall Progress</t>
  </si>
  <si>
    <t>Phase</t>
  </si>
  <si>
    <t>✅ Done</t>
  </si>
  <si>
    <t>Current Phase</t>
  </si>
  <si>
    <t>🔄 In Progress</t>
  </si>
  <si>
    <t>Current Milestone</t>
  </si>
  <si>
    <t>🚫 Blocked</t>
  </si>
  <si>
    <t>Current Sprint</t>
  </si>
  <si>
    <t>⏳ Not Started</t>
  </si>
  <si>
    <t>Completed Phases</t>
  </si>
  <si>
    <t>Completed Milestones</t>
  </si>
  <si>
    <t>Completed Epics</t>
  </si>
  <si>
    <t>Completed Stories</t>
  </si>
  <si>
    <t>Total Stories</t>
  </si>
  <si>
    <t>Current Release</t>
  </si>
  <si>
    <t>Project Health</t>
  </si>
  <si>
    <t>Upcoming Sprint</t>
  </si>
  <si>
    <t>Blocked Stories</t>
  </si>
  <si>
    <t>Open Risks</t>
  </si>
  <si>
    <t>Overall Completion %</t>
  </si>
  <si>
    <t>Total Project Spend (AED)</t>
  </si>
  <si>
    <t>Weight</t>
  </si>
  <si>
    <t>Platform Foundation</t>
  </si>
  <si>
    <t>Establish the engineering platform, backend foundation, development standards, tooling, testing framework, documentation, and shared infrastructure.</t>
  </si>
  <si>
    <t>✅ Completed</t>
  </si>
  <si>
    <t>Feature Delivery (Vertical Slices)</t>
  </si>
  <si>
    <t>Deliver every resident- and admin-facing capability as a complete vertical slice: data model, backend API, third-party integration (Firebase, media, push), Flutter UI, and tests — so each sprint ships something usable end to end.</t>
  </si>
  <si>
    <t>⏳ Planned</t>
  </si>
  <si>
    <t>Production Readiness</t>
  </si>
  <si>
    <t>Complete performance optimization, security hardening, DevOps, monitoring, testing, deployment automation, and operational readiness.</t>
  </si>
  <si>
    <t>MVP Release</t>
  </si>
  <si>
    <t>Complete final validation, production deployment, documentation, and official MVP release.</t>
  </si>
  <si>
    <t>Milestone ID</t>
  </si>
  <si>
    <t>Epic Code</t>
  </si>
  <si>
    <t>Epic</t>
  </si>
  <si>
    <t>ML1-EP01</t>
  </si>
  <si>
    <t>Establish the complete backend engineering platform and shared infrastructure.</t>
  </si>
  <si>
    <t>ML2-EP01</t>
  </si>
  <si>
    <t>User Registration</t>
  </si>
  <si>
    <t>Enable secure resident account registration.</t>
  </si>
  <si>
    <t>ML2-EP02</t>
  </si>
  <si>
    <t>User Authentication</t>
  </si>
  <si>
    <t>Implement login, logout and authentication workflows.</t>
  </si>
  <si>
    <t>ML2-EP03</t>
  </si>
  <si>
    <t>Session Management</t>
  </si>
  <si>
    <t>Manage JWT access tokens, refresh tokens and active sessions.</t>
  </si>
  <si>
    <t>ML2-EP04</t>
  </si>
  <si>
    <t>Authorization</t>
  </si>
  <si>
    <t>Implement roles, permissions and access control.</t>
  </si>
  <si>
    <t>ML2-EP05</t>
  </si>
  <si>
    <t>Password Management</t>
  </si>
  <si>
    <t>Support password creation, reset and account recovery.</t>
  </si>
  <si>
    <t>ML3-EP01</t>
  </si>
  <si>
    <t>Email Verification</t>
  </si>
  <si>
    <t>Verify resident email addresses.</t>
  </si>
  <si>
    <t>ML3-EP02</t>
  </si>
  <si>
    <t>Mobile Verification</t>
  </si>
  <si>
    <t>Verify resident mobile numbers using OTP.</t>
  </si>
  <si>
    <t>ML3-EP03</t>
  </si>
  <si>
    <t>Residency Verification</t>
  </si>
  <si>
    <t>Support community, Ejari and DEWA verification workflows.</t>
  </si>
  <si>
    <t>ML4-EP01</t>
  </si>
  <si>
    <t>Manage resident personal information.</t>
  </si>
  <si>
    <t>ML4-EP02</t>
  </si>
  <si>
    <t>Privacy &amp; Preferences</t>
  </si>
  <si>
    <t>Manage privacy settings and user preferences.</t>
  </si>
  <si>
    <t>ML5-EP01</t>
  </si>
  <si>
    <t>Community Management</t>
  </si>
  <si>
    <t>Create and manage residential communities.</t>
  </si>
  <si>
    <t>ML5-EP02</t>
  </si>
  <si>
    <t>Membership Management</t>
  </si>
  <si>
    <t>Join, approve and manage community members.</t>
  </si>
  <si>
    <t>ML5-EP03</t>
  </si>
  <si>
    <t>Community Administration</t>
  </si>
  <si>
    <t>Manage community settings, rules and administrators.</t>
  </si>
  <si>
    <t>ML6-EP01</t>
  </si>
  <si>
    <t>Posts</t>
  </si>
  <si>
    <t>Create and manage community posts.</t>
  </si>
  <si>
    <t>ML6-EP02</t>
  </si>
  <si>
    <t>Comments</t>
  </si>
  <si>
    <t>Enable threaded discussions on posts.</t>
  </si>
  <si>
    <t>ML6-EP03</t>
  </si>
  <si>
    <t>Reactions</t>
  </si>
  <si>
    <t>Support likes and quick reactions.</t>
  </si>
  <si>
    <t>ML6-EP04</t>
  </si>
  <si>
    <t>Media Attachments</t>
  </si>
  <si>
    <t>Upload and manage post media.</t>
  </si>
  <si>
    <t>ML7-EP01</t>
  </si>
  <si>
    <t>Community Announcements</t>
  </si>
  <si>
    <t>Publish important community announcements.</t>
  </si>
  <si>
    <t>ML7-EP02</t>
  </si>
  <si>
    <t>Engagement Features</t>
  </si>
  <si>
    <t>Bookmarks, mentions, hashtags and additional engagement features.</t>
  </si>
  <si>
    <t>ML7-EP03</t>
  </si>
  <si>
    <t>Content Reporting</t>
  </si>
  <si>
    <t>Allow residents to report inappropriate content.</t>
  </si>
  <si>
    <t>ML8-EP01</t>
  </si>
  <si>
    <t>Event Management</t>
  </si>
  <si>
    <t>Create and manage community events.</t>
  </si>
  <si>
    <t>ML8-EP02</t>
  </si>
  <si>
    <t>Event Participation</t>
  </si>
  <si>
    <t>RSVP, attendance and participant management.</t>
  </si>
  <si>
    <t>ML9-EP01</t>
  </si>
  <si>
    <t>Help Requests</t>
  </si>
  <si>
    <t>Allow residents to request assistance.</t>
  </si>
  <si>
    <t>ML9-EP02</t>
  </si>
  <si>
    <t>Lost &amp; Found</t>
  </si>
  <si>
    <t>Report and manage lost and found items.</t>
  </si>
  <si>
    <t>ML9-EP03</t>
  </si>
  <si>
    <t>Humanity Acts</t>
  </si>
  <si>
    <t>Support volunteer work, blood donation and emergency assistance.</t>
  </si>
  <si>
    <t>ML10-EP01</t>
  </si>
  <si>
    <t>Push Notifications</t>
  </si>
  <si>
    <t>Deliver push notifications to mobile devices.</t>
  </si>
  <si>
    <t>ML10-EP02</t>
  </si>
  <si>
    <t>In-App Notifications</t>
  </si>
  <si>
    <t>Display notifications within the application.</t>
  </si>
  <si>
    <t>ML10-EP03</t>
  </si>
  <si>
    <t>Notification Preferences</t>
  </si>
  <si>
    <t>Allow users to manage notification settings.</t>
  </si>
  <si>
    <t>ML11-EP01</t>
  </si>
  <si>
    <t>Global Search</t>
  </si>
  <si>
    <t>Search across platform resources.</t>
  </si>
  <si>
    <t>ML11-EP02</t>
  </si>
  <si>
    <t>Search Filters</t>
  </si>
  <si>
    <t>Filter and refine search results.</t>
  </si>
  <si>
    <t>ML12-EP01</t>
  </si>
  <si>
    <t>Reporting &amp; Moderation</t>
  </si>
  <si>
    <t>Handle reports and moderation workflows.</t>
  </si>
  <si>
    <t>ML12-EP02</t>
  </si>
  <si>
    <t>Enforcement Actions</t>
  </si>
  <si>
    <t>Warnings, suspensions and bans.</t>
  </si>
  <si>
    <t>ML12-EP03</t>
  </si>
  <si>
    <t>Audit Trail</t>
  </si>
  <si>
    <t>Record moderation and security activities.</t>
  </si>
  <si>
    <t>ML13-EP01</t>
  </si>
  <si>
    <t>Administration Dashboard</t>
  </si>
  <si>
    <t>Platform administration dashboard.</t>
  </si>
  <si>
    <t>ML13-EP02</t>
  </si>
  <si>
    <t>Platform Configuration</t>
  </si>
  <si>
    <t>Manage feature flags and system configuration.</t>
  </si>
  <si>
    <t>ML13-EP03</t>
  </si>
  <si>
    <t>User Administration</t>
  </si>
  <si>
    <t>Manage users, communities and operational activities.</t>
  </si>
  <si>
    <t>ML14-EP01</t>
  </si>
  <si>
    <t>Flutter Architecture</t>
  </si>
  <si>
    <t>Establish project architecture and shared framework.</t>
  </si>
  <si>
    <t>ML14-EP02</t>
  </si>
  <si>
    <t>Design System</t>
  </si>
  <si>
    <t>Implement theming, localization and reusable UI components.</t>
  </si>
  <si>
    <t>ML14-EP03</t>
  </si>
  <si>
    <t>Application Framework</t>
  </si>
  <si>
    <t>Configure navigation, state management and shared services.</t>
  </si>
  <si>
    <t>ML15-EP01</t>
  </si>
  <si>
    <t>Authentication UI</t>
  </si>
  <si>
    <t>Build authentication screens and user onboarding.</t>
  </si>
  <si>
    <t>ML16-EP01</t>
  </si>
  <si>
    <t>Community Experience</t>
  </si>
  <si>
    <t>Build profile, community and feed user experiences.</t>
  </si>
  <si>
    <t>ML17-EP01</t>
  </si>
  <si>
    <t>Events Experience</t>
  </si>
  <si>
    <t>Build event user experiences.</t>
  </si>
  <si>
    <t>ML17-EP02</t>
  </si>
  <si>
    <t>Notification Experience</t>
  </si>
  <si>
    <t>Build notification user experiences.</t>
  </si>
  <si>
    <t>ML18-EP01</t>
  </si>
  <si>
    <t>File Upload Service</t>
  </si>
  <si>
    <t>Upload, store and manage media files.</t>
  </si>
  <si>
    <t>ML18-EP02</t>
  </si>
  <si>
    <t>Media Optimization</t>
  </si>
  <si>
    <t>Compress, resize and optimize uploaded media.</t>
  </si>
  <si>
    <t>ML19-EP01</t>
  </si>
  <si>
    <t>Background Jobs</t>
  </si>
  <si>
    <t>Execute asynchronous business processes.</t>
  </si>
  <si>
    <t>ML19-EP02</t>
  </si>
  <si>
    <t>Scheduled Tasks</t>
  </si>
  <si>
    <t>Execute recurring maintenance and scheduled jobs.</t>
  </si>
  <si>
    <t>ML20-EP01</t>
  </si>
  <si>
    <t>Improve API, database and application performance.</t>
  </si>
  <si>
    <t>ML20-EP02</t>
  </si>
  <si>
    <t>Scalability &amp; Caching</t>
  </si>
  <si>
    <t>Implement caching strategies and scalability improvements for backend and mobile.</t>
  </si>
  <si>
    <t>ML21-EP01</t>
  </si>
  <si>
    <t>Security Validation</t>
  </si>
  <si>
    <t>Complete security testing, validation and compliance checks.</t>
  </si>
  <si>
    <t>ML21-EP02</t>
  </si>
  <si>
    <t>Security Enhancements</t>
  </si>
  <si>
    <t>Implement rate limiting and additional security hardening measures.</t>
  </si>
  <si>
    <t>ML22-EP01</t>
  </si>
  <si>
    <t>CI/CD Pipeline</t>
  </si>
  <si>
    <t>Finalize continuous integration and deployment pipelines.</t>
  </si>
  <si>
    <t>ML22-EP02</t>
  </si>
  <si>
    <t>Infrastructure &amp; Monitoring</t>
  </si>
  <si>
    <t>Configure infrastructure, monitoring, backups and environment management.</t>
  </si>
  <si>
    <t>ML23-EP01</t>
  </si>
  <si>
    <t>End-to-End Testing &amp; UAT</t>
  </si>
  <si>
    <t>Complete end-to-end testing and user acceptance testing.</t>
  </si>
  <si>
    <t>ML23-EP02</t>
  </si>
  <si>
    <t>Release Documentation &amp; Validation</t>
  </si>
  <si>
    <t>Complete documentation review and production validation.</t>
  </si>
  <si>
    <t>ML24-EP01</t>
  </si>
  <si>
    <t>MVP Release Deployment</t>
  </si>
  <si>
    <t>Deploy and finalize the first production-ready MVP release.</t>
  </si>
  <si>
    <t>ML9-EP04</t>
  </si>
  <si>
    <t>Help &amp; Humanity UI</t>
  </si>
  <si>
    <t>Build the Flutter experience for Help Requests, Lost &amp; Found, and Humanity Acts.</t>
  </si>
  <si>
    <t>ML11-EP03</t>
  </si>
  <si>
    <t>Search UI</t>
  </si>
  <si>
    <t>Build the Flutter global search experience across residents, posts, communities, events and help requests.</t>
  </si>
  <si>
    <t>ML12-EP04</t>
  </si>
  <si>
    <t>Moderation UI (Admin)</t>
  </si>
  <si>
    <t>Build the admin-facing moderation queue and enforcement UI.</t>
  </si>
  <si>
    <t>Sprint ID</t>
  </si>
  <si>
    <t>Sprint</t>
  </si>
  <si>
    <t>Theme</t>
  </si>
  <si>
    <t>Goal</t>
  </si>
  <si>
    <t>End Date</t>
  </si>
  <si>
    <t>Planned Stories</t>
  </si>
  <si>
    <t>Milestones</t>
  </si>
  <si>
    <t>Phases</t>
  </si>
  <si>
    <t>Summary Document</t>
  </si>
  <si>
    <t>SP01</t>
  </si>
  <si>
    <t>Sprint 1</t>
  </si>
  <si>
    <t>Establish the production-ready backend engineering platform and shared infrastructure.</t>
  </si>
  <si>
    <t>SP02</t>
  </si>
  <si>
    <t>Sprint 2</t>
  </si>
  <si>
    <t>Account Registration &amp; Login</t>
  </si>
  <si>
    <t>Deliver a complete Firebase-based registration and login flow, backend and mobile UI together, so a resident can actually create an account and sign in by the end of this sprint.</t>
  </si>
  <si>
    <t>SP03</t>
  </si>
  <si>
    <t>Sprint 3</t>
  </si>
  <si>
    <t>Account Security - Sessions &amp; Authorization</t>
  </si>
  <si>
    <t>Let a resident see and manage their active sessions, and give the backend a working role/permission model, end to end.</t>
  </si>
  <si>
    <t>SP04</t>
  </si>
  <si>
    <t>Sprint 4</t>
  </si>
  <si>
    <t>Account Recovery &amp; Email Verification</t>
  </si>
  <si>
    <t>Let a resident add and verify an email address for account recovery and communication, matching the MVP scope's 'Email Verification' requirement.</t>
  </si>
  <si>
    <t>SP05</t>
  </si>
  <si>
    <t>Sprint 5</t>
  </si>
  <si>
    <t>Residency Verification - Ejari &amp; DEWA</t>
  </si>
  <si>
    <t>Let a resident upload their Ejari and DEWA documents and track verification status end to end. (Mobile-number verification, ML3-EP02, is already satisfied by Sprint 2's Firebase OTP flow.)</t>
  </si>
  <si>
    <t>SP06</t>
  </si>
  <si>
    <t>Sprint 6</t>
  </si>
  <si>
    <t>Let a resident view and edit their profile (name, photo, bio, interests) end to end, per the MVP scope's Profile requirements.</t>
  </si>
  <si>
    <t>SP07</t>
  </si>
  <si>
    <t>Sprint 7</t>
  </si>
  <si>
    <t>Privacy Settings &amp; Preferences</t>
  </si>
  <si>
    <t>Let a resident control profile visibility, language and notification preferences end to end, per the MVP scope's Settings requirements.</t>
  </si>
  <si>
    <t>SP08</t>
  </si>
  <si>
    <t>Sprint 8</t>
  </si>
  <si>
    <t>Community Selection &amp; Membership</t>
  </si>
  <si>
    <t>Let a resident browse approved communities and request to join one end to end. (Community creation itself is admin-managed - see Sprint 9.)</t>
  </si>
  <si>
    <t>SP09</t>
  </si>
  <si>
    <t>Sprint 9</t>
  </si>
  <si>
    <t>Community Admin &amp; Verification Review</t>
  </si>
  <si>
    <t>Give an administrator the tools to create communities and approve residency verification and membership requests - the operational counterpart to Sprints 5 and 8.</t>
  </si>
  <si>
    <t>SP10</t>
  </si>
  <si>
    <t>Sprint 10</t>
  </si>
  <si>
    <t>Community Feed - Create &amp; View Posts</t>
  </si>
  <si>
    <t>Let a resident create a post with text and images and see the community feed end to end, per the MVP scope's Feed requirements.</t>
  </si>
  <si>
    <t>SP11</t>
  </si>
  <si>
    <t>Sprint 11</t>
  </si>
  <si>
    <t>Post Interactions - Comments, Likes &amp; Quick Reactions</t>
  </si>
  <si>
    <t>Let a resident comment on, like, and quick-react to a post end to end, per the MVP scope's Post Interactions and Quick Reactions requirements.</t>
  </si>
  <si>
    <t>SP12</t>
  </si>
  <si>
    <t>Sprint 12</t>
  </si>
  <si>
    <t>Save &amp; Report Content</t>
  </si>
  <si>
    <t>Let a resident bookmark a post and report a post or user end to end, per the MVP scope's Moderation (Report User/Post) requirements.</t>
  </si>
  <si>
    <t>SP13</t>
  </si>
  <si>
    <t>Sprint 13</t>
  </si>
  <si>
    <t>Let an admin publish a community announcement and a resident see it end to end. Flagging: the MVP scope doc does not explicitly list Announcements as a must-have - confirm before building versus deferring in favor of the existing ALERT post type.</t>
  </si>
  <si>
    <t>SP14</t>
  </si>
  <si>
    <t>Sprint 14</t>
  </si>
  <si>
    <t>Community Events - Create &amp; Manage</t>
  </si>
  <si>
    <t>Let a resident create and manage a community event end to end, per the MVP scope's Events requirements.</t>
  </si>
  <si>
    <t>SP15</t>
  </si>
  <si>
    <t>Sprint 15</t>
  </si>
  <si>
    <t>Event RSVP &amp; Participation</t>
  </si>
  <si>
    <t>Let a resident RSVP to an event and see who's attending end to end, per the MVP scope's RSVP requirements.</t>
  </si>
  <si>
    <t>SP16</t>
  </si>
  <si>
    <t>Sprint 16</t>
  </si>
  <si>
    <t>Let a resident request assistance from neighbours and respond to a request end to end, per the MVP scope's Help Request requirements.</t>
  </si>
  <si>
    <t>SP17</t>
  </si>
  <si>
    <t>Sprint 17</t>
  </si>
  <si>
    <t>Let a resident report a lost item, found item, or lost pet end to end, per the MVP scope. This reuses the Help Request schema with dedicated categories rather than a new table, matching how the schema models it.</t>
  </si>
  <si>
    <t>SP18</t>
  </si>
  <si>
    <t>Sprint 18</t>
  </si>
  <si>
    <t>Humanity Acts - Emergency, Blood Donation, Volunteering &amp; Charity</t>
  </si>
  <si>
    <t>Let a resident request or offer help for emergencies, blood donation, volunteering, charity or community support end to end, per the MVP scope. Also reuses the Help Request schema with dedicated categories.</t>
  </si>
  <si>
    <t>SP19</t>
  </si>
  <si>
    <t>Sprint 19</t>
  </si>
  <si>
    <t>Push &amp; In-App Notifications</t>
  </si>
  <si>
    <t>Deliver push and in-app notifications end to end, per the MVP scope's Notifications requirements.</t>
  </si>
  <si>
    <t>SP20</t>
  </si>
  <si>
    <t>Sprint 20</t>
  </si>
  <si>
    <t>Let a resident control which notifications they receive end to end, using the notification flags already defined on User Preference.</t>
  </si>
  <si>
    <t>SP21</t>
  </si>
  <si>
    <t>Sprint 21</t>
  </si>
  <si>
    <t>Let a resident search across residents, posts, communities, events and help requests end to end, per the MVP scope's Search requirements.</t>
  </si>
  <si>
    <t>SP22</t>
  </si>
  <si>
    <t>Sprint 22</t>
  </si>
  <si>
    <t>Moderation &amp; Enforcement</t>
  </si>
  <si>
    <t>Give an admin a moderation queue and enforcement actions end to end, closing the loop on the Report data created throughout the feed/community features.</t>
  </si>
  <si>
    <t>SP23</t>
  </si>
  <si>
    <t>Sprint 23</t>
  </si>
  <si>
    <t>Admin Portal - Dashboard, Config &amp; User Administration</t>
  </si>
  <si>
    <t>Give an admin a dashboard, platform configuration, and user administration end to end, consolidating the operational tools introduced piecemeal in Sprints 9 and 22.</t>
  </si>
  <si>
    <t>SP24</t>
  </si>
  <si>
    <t>Sprint 24</t>
  </si>
  <si>
    <t>Performance Optimization &amp; Scalability</t>
  </si>
  <si>
    <t>Optimize database queries, caching, API performance and mobile responsiveness across the completed feature set.</t>
  </si>
  <si>
    <t>SP25</t>
  </si>
  <si>
    <t>Sprint 25</t>
  </si>
  <si>
    <t>Complete security validation, compliance checks and rate-limiting hardening across the platform.</t>
  </si>
  <si>
    <t>SP26</t>
  </si>
  <si>
    <t>Sprint 26</t>
  </si>
  <si>
    <t>Finalize CI/CD, infrastructure, monitoring and backups for production deployment.</t>
  </si>
  <si>
    <t>SP27</t>
  </si>
  <si>
    <t>Sprint 27</t>
  </si>
  <si>
    <t>QA &amp; Release Readiness</t>
  </si>
  <si>
    <t>Complete end-to-end testing, UAT and documentation review across the whole feature set before release.</t>
  </si>
  <si>
    <t>SP28</t>
  </si>
  <si>
    <t>Sprint 28</t>
  </si>
  <si>
    <t>Deploy and finalize the first production-ready release of MyCommunity with all approved MVP functionality.</t>
  </si>
  <si>
    <t>Story ID</t>
  </si>
  <si>
    <t>Title</t>
  </si>
  <si>
    <t>Priority</t>
  </si>
  <si>
    <t>Estimate (Hours)</t>
  </si>
  <si>
    <t>Actual Hours</t>
  </si>
  <si>
    <t>Story Points</t>
  </si>
  <si>
    <t>Assignee</t>
  </si>
  <si>
    <t>Depends On</t>
  </si>
  <si>
    <t>BF-001</t>
  </si>
  <si>
    <t>FastAPI Project Structure</t>
  </si>
  <si>
    <t>As a developer, I want a standardized FastAPI project structure so that the codebase is modular and scalable.
Acceptance Criteria: Project follows the approved folder structure and starts successfully.</t>
  </si>
  <si>
    <t>High</t>
  </si>
  <si>
    <t>BF-002</t>
  </si>
  <si>
    <t>Centralized Configuration</t>
  </si>
  <si>
    <t>As a developer, I want all application configuration to be centralized, validated, and loaded from environment variables so that the application is secure, environment independent, and fails fast when required configuration is missing.
Acceptance Criteria: Settings are loaded from .env using Pydantic BaseSettings with no hardcoded values.</t>
  </si>
  <si>
    <t>BF-003</t>
  </si>
  <si>
    <t>Database Connectivity</t>
  </si>
  <si>
    <t>As a developer, I want database connectivity configured with SQLAlchemy Async and PostgreSQL so that the application can persist data reliably.
Acceptance Criteria: Application successfully connects to PostgreSQL using Async SQLAlchemy.</t>
  </si>
  <si>
    <t>BF-004</t>
  </si>
  <si>
    <t>Alembic Migrations</t>
  </si>
  <si>
    <t>As a developer, I want Alembic configured for database migrations so that schema changes are version controlled.
Acceptance Criteria: Initial migration can be created and applied successfully.</t>
  </si>
  <si>
    <t>BF-005</t>
  </si>
  <si>
    <t>Application Lifecycle Management</t>
  </si>
  <si>
    <t>As a developer, I want application lifecycle management configured so that startup and shutdown events are handled correctly.
Acceptance Criteria: Lifespan events initialize and release resources without errors.</t>
  </si>
  <si>
    <t>BF-006</t>
  </si>
  <si>
    <t>API Versioning</t>
  </si>
  <si>
    <t>As a developer, I want API versioning established so that future API changes remain backward compatible.
Acceptance Criteria: All endpoints are available under /api/v1.</t>
  </si>
  <si>
    <t>BF-007</t>
  </si>
  <si>
    <t>Health Check Endpoints</t>
  </si>
  <si>
    <t>As a developer, I want health check endpoints so that I can verify application and database availability.
Acceptance Criteria: Health endpoint returns application status and database connectivity.</t>
  </si>
  <si>
    <t>BF-008</t>
  </si>
  <si>
    <t>Structured Logging</t>
  </si>
  <si>
    <t>As a developer, I want structured logging so that application behavior is easy to monitor and troubleshoot.
Acceptance Criteria: Requests, errors, and startup events are logged consistently.</t>
  </si>
  <si>
    <t>Medium</t>
  </si>
  <si>
    <t>BF-009</t>
  </si>
  <si>
    <t>Global Exception Handling</t>
  </si>
  <si>
    <t>As a developer, I want global exception handling so that API errors are returned in a consistent format.
Acceptance Criteria: Validation, business, and unexpected exceptions return standardized responses.</t>
  </si>
  <si>
    <t>BF-010</t>
  </si>
  <si>
    <t>Standardized API Response Models</t>
  </si>
  <si>
    <t>As a developer, I want reusable standardized API response models so that every API endpoint returns a consistent response contract for success, collections, pagination, and errors.
Acceptance Criteria: Reusable generic response models support success, paginated, and standardized error responses compatible with the global exception handler (BF-009); Pydantic v2 generics used where appropriate; Health endpoints updated to the standardized model; OpenAPI reflects the schemas; unit tests validate serialization.</t>
  </si>
  <si>
    <t>BF-011</t>
  </si>
  <si>
    <t>Security Utilities</t>
  </si>
  <si>
    <t>As a developer, I want security utilities prepared so that authentication can be implemented without restructuring the project.
Acceptance Criteria: Password hashing, JWT helpers, and security dependencies are available but unused.</t>
  </si>
  <si>
    <t>BF-012</t>
  </si>
  <si>
    <t>Reusable Repository Layer</t>
  </si>
  <si>
    <t>As a developer, I want a reusable repository layer that isolates database access from business logic, so that services remain focused on business rules and persistence concerns are centralized, consistent, and easily testable.
Acceptance Criteria: Base repository and repository interfaces are implemented.</t>
  </si>
  <si>
    <t>BF-013</t>
  </si>
  <si>
    <t>Service Layer &amp; Repository Contracts</t>
  </si>
  <si>
    <t>As a developer, I want a service layer so that business logic is separated from controllers and repositories.
Acceptance Criteria: Generic asynchronous BaseRepository implemented with common CRUD operations; repository interfaces defined for future business modules; architecture follows Router -&gt; Service -&gt; Repository -&gt; Database; repositories are the only layer permitted to access the database directly; no business entities or MVP functionality introduced.</t>
  </si>
  <si>
    <t>BF-014</t>
  </si>
  <si>
    <t>Request Middleware &amp; Correlation IDs</t>
  </si>
  <si>
    <t>As a developer, I want centralized HTTP middleware for request logging, correlation IDs, and request execution timing so that every request can be consistently traced, monitored, and diagnosed across the application without adding logging logic to individual routes or services.
Acceptance Criteria: Global middleware generates/propagates a correlation ID attached to context and response headers; every request is logged with method, path, status, execution time, correlation ID, client IP, and user ID when available; sensitive data (credentials, tokens, secrets) excluded; middleware is async and covered by tests.</t>
  </si>
  <si>
    <t>BF-015</t>
  </si>
  <si>
    <t>OpenAPI Documentation</t>
  </si>
  <si>
    <t>As a developer, I want the backend to automatically generate and expose OpenAPI documentation so that developers can easily discover, understand, and test all available API endpoints without requiring separate manual documentation.
Acceptance Criteria: Swagger UI and ReDoc are accessible and render all /api/v1 endpoints; API metadata centrally configured; endpoints documented with summaries, tags, response models and status codes; docs generated automatically from source with no manual OpenAPI files.</t>
  </si>
  <si>
    <t>BF-016</t>
  </si>
  <si>
    <t>Backend Testing Framework</t>
  </si>
  <si>
    <t>As a developer, I want a standardized backend testing framework configured so that automated tests can validate application behavior, support future feature development, and integrate seamlessly with the project's CI workflow.
Acceptance Criteria: Pytest fully configured with a dedicated tests/ structure; shared fixtures available for reuse; at least one automated test executes successfully; configuration documented for future contributors.</t>
  </si>
  <si>
    <t>BF-017</t>
  </si>
  <si>
    <t>Code Quality Tooling</t>
  </si>
  <si>
    <t>As a developer, I want automated Python code quality tooling configured so that coding standards are enforced consistently across the project and code quality issues are detected before changes are merged.
Acceptance Criteria: Ruff configured as the standard linter with a centralized config committed to the repo; entire backend passes linting with zero errors; developer docs updated with local run instructions.</t>
  </si>
  <si>
    <t>BF-018</t>
  </si>
  <si>
    <t>Backend Onboarding Documentation</t>
  </si>
  <si>
    <t>As a developer, I want comprehensive project documentation so that any new contributor can quickly understand the backend architecture, set up a local development environment, execute common development tasks, and follow the project's engineering workflow without relying on tribal knowledge.
Acceptance Criteria: Root README.md created/updated as the primary onboarding guide covering prerequisites, installation, environment config, structure, dev commands, testing, linting, migrations, API docs, and workflow; all commands verified against the current repository.</t>
  </si>
  <si>
    <t>Low</t>
  </si>
  <si>
    <t>BF-001, BF-002, BF-003, BF-004, BF-005, BF-006, BF-007, BF-008, BF-009, BF-010, BF-011, BF-012, BF-013, BF-014, BF-015, BF-016, BF-017</t>
  </si>
  <si>
    <t>UR-001</t>
  </si>
  <si>
    <t>Resident User Data Model, Migration &amp; Repository</t>
  </si>
  <si>
    <t>BF-003, BF-012</t>
  </si>
  <si>
    <t>UR-002</t>
  </si>
  <si>
    <t>Firebase Token Verification, Registration &amp; Login API</t>
  </si>
  <si>
    <t>As a resident, I want to register and log in using my Firebase-verified mobile number so the backend can create or resolve my profile and issue an authorization JWT.
Acceptance Criteria: Firebase Admin SDK verifies ID tokens; /auth/register creates the User (PENDING_VERIFICATION) and Device record; /auth/login resolves the user, creates a Session, and returns a backend JWT; duplicate accounts are rejected with a 409.</t>
  </si>
  <si>
    <t>UR-003</t>
  </si>
  <si>
    <t>Session, Security &amp; Audit Guardrails</t>
  </si>
  <si>
    <t>As a platform owner, I want registration/login rate-limited, account status enforced, and every attempt audit-logged so the flow is safe to expose publicly.
Acceptance Criteria: IP/device rate limiting on register and login; login blocked for suspended/inactive/pending accounts with a distinct standardized error; Audit Log entries written for both flows.</t>
  </si>
  <si>
    <t>FB-001</t>
  </si>
  <si>
    <t>Flutter Project Bootstrap for Auth Track</t>
  </si>
  <si>
    <t>As a developer, I want a minimal Flutter scaffold (routing, theming, Firebase init) so auth screens can be built now, ahead of the full app architecture milestone.
Acceptance Criteria: Flutter project runs on iOS/Android with a basic navigation shell and Firebase SDK initialized; full design system remains deferred.</t>
  </si>
  <si>
    <t>FA-001</t>
  </si>
  <si>
    <t>Mobile Number Entry &amp; OTP Verification Screens</t>
  </si>
  <si>
    <t>As a resident, I want to enter my mobile number and the OTP sent to it so I can begin registration or login.
Acceptance Criteria: Country-code picker (default +971), number validation, Firebase phone-auth OTP request; OTP screen has a resend timer and clear invalid/expired-code states.</t>
  </si>
  <si>
    <t>FA-002</t>
  </si>
  <si>
    <t>Registration Profile Capture &amp; Auto-Login</t>
  </si>
  <si>
    <t>As a new resident, I want to enter my basic profile after OTP verification so my account is created, and as a returning resident I want the app to log me in automatically when I already have a valid session.
Acceptance Criteria: New numbers route to a profile-capture screen that calls UR-002's register endpoint; existing numbers and valid sessions route straight to home via the login endpoint.</t>
  </si>
  <si>
    <t>FA-001, UR-002</t>
  </si>
  <si>
    <t>FA-003</t>
  </si>
  <si>
    <t>Authentication End-to-End Testing</t>
  </si>
  <si>
    <t>As a developer, I want backend and Flutter tests for the full registration/login flow so regressions are caught before release.
Acceptance Criteria: Backend tests mock Firebase Admin verification and cover duplicate/invalid-token/blocked-account cases; a Flutter integration test exercises mobile-entry through OTP to home against a Firebase test project.</t>
  </si>
  <si>
    <t>UR-003, FA-002</t>
  </si>
  <si>
    <t>AS-001</t>
  </si>
  <si>
    <t>Refresh Token Data Model &amp; Rotation API</t>
  </si>
  <si>
    <t>As a developer, I want refresh tokens modeled and rotated per the Authentication Module schema so access tokens can be renewed securely without re-verifying via Firebase every time.
Acceptance Criteria: Refresh Token table implemented (hashed storage only); /auth/refresh issues a new JWT and rotates the token; revoked/expired tokens are rejected.</t>
  </si>
  <si>
    <t>AS-002</t>
  </si>
  <si>
    <t>Role-Based Authorization Middleware</t>
  </si>
  <si>
    <t>As a developer, I want resident/community-admin/platform-admin roles enforced on protected endpoints so authorization isn't left to ad-hoc checks in each route.
Acceptance Criteria: Role field added to User/session context; a reusable dependency enforces required roles per endpoint and returns a standardized 403 on mismatch.</t>
  </si>
  <si>
    <t>UA-004</t>
  </si>
  <si>
    <t>AS-003</t>
  </si>
  <si>
    <t>Active Sessions Screen</t>
  </si>
  <si>
    <t>As a resident, I want to see my active devices/sessions and log out of any of them so I can control access to my account.
Acceptance Criteria: Flutter screen lists sessions from UA-003's Session table via a new list endpoint, with a per-session logout action that revokes that session's tokens.</t>
  </si>
  <si>
    <t>AS-004</t>
  </si>
  <si>
    <t>Session &amp; Authorization Testing</t>
  </si>
  <si>
    <t>As a developer, I want tests for token refresh, revocation and role enforcement so this security-sensitive area doesn't regress silently.
Acceptance Criteria: Tests cover refresh rotation, revoked-token rejection, and role-mismatch 403s; all pass in CI.</t>
  </si>
  <si>
    <t>AS-001, AS-002, AS-003</t>
  </si>
  <si>
    <t>AV-001</t>
  </si>
  <si>
    <t>Email Verification Data Model &amp; Send API</t>
  </si>
  <si>
    <t>As a resident, I want to add an email address and receive a verification link/code so it can be used for account recovery and important communication.
Acceptance Criteria: Email + verification-token fields used on the User table; an endpoint sends a verification email via the configured provider.</t>
  </si>
  <si>
    <t>AV-002</t>
  </si>
  <si>
    <t>Verify Email &amp; Account Recovery API</t>
  </si>
  <si>
    <t>As a resident, I want to confirm my email and use it to regain access if I lose my mobile number so I'm not permanently locked out.
Acceptance Criteria: Verify-email endpoint sets is_email_verified=true; a documented, support-assisted recovery path exists for lost-phone cases (self-service phone-number change is flagged as a follow-up decision, not built here).</t>
  </si>
  <si>
    <t>AV-003</t>
  </si>
  <si>
    <t>Add &amp; Verify Email Screen</t>
  </si>
  <si>
    <t>As a resident, I want a settings screen to add my email and confirm the verification code so I can complete this from the app.
Acceptance Criteria: Flutter screen submits the email, shows a pending-verification state, and confirms once AV-002's verify endpoint succeeds.</t>
  </si>
  <si>
    <t>AV-004</t>
  </si>
  <si>
    <t>Email Verification Testing</t>
  </si>
  <si>
    <t>As a developer, I want tests for the email verification and recovery flow so regressions are caught early.
Acceptance Criteria: Tests cover send, verify, expired-code and duplicate-email cases.</t>
  </si>
  <si>
    <t>AV-002, AV-003</t>
  </si>
  <si>
    <t>RV-001</t>
  </si>
  <si>
    <t>Verification &amp; Verification Document Data Model</t>
  </si>
  <si>
    <t>As a developer, I want Verification and Verification Document tables (per the Foundation Module schema) so Ejari/DEWA submissions and their review status are tracked per resident.
Acceptance Criteria: Tables implemented with status (PENDING/APPROVED/REJECTED) and a link to uploaded document files.</t>
  </si>
  <si>
    <t>RV-002</t>
  </si>
  <si>
    <t>Document Upload API</t>
  </si>
  <si>
    <t>As a resident, I want to upload my Ejari and DEWA documents so my residency can be verified.
Acceptance Criteria: Upload endpoint stores files via the minimal file-upload service (built here, first use of ML18) and creates a Verification Document record in PENDING status.</t>
  </si>
  <si>
    <t>RV-003</t>
  </si>
  <si>
    <t>Upload Documents &amp; Verification Status Screen</t>
  </si>
  <si>
    <t>As a resident, I want to upload my documents from the app and see whether I'm pending, approved, or rejected so I know where I stand.
Acceptance Criteria: Flutter screen supports document picker/upload and displays live status from RV-002.</t>
  </si>
  <si>
    <t>RV-004</t>
  </si>
  <si>
    <t>Verification Upload Testing</t>
  </si>
  <si>
    <t>As a developer, I want tests for document upload and status transitions so regressions are caught before release.
Acceptance Criteria: Tests cover successful upload, invalid file types, and status-read correctness.</t>
  </si>
  <si>
    <t>RV-002, RV-003</t>
  </si>
  <si>
    <t>RP-001</t>
  </si>
  <si>
    <t>Profile Fields Migration (Bio &amp; Interests)</t>
  </si>
  <si>
    <t>As a developer, I want bio and interests added to the User model so the profile matches the MVP scope, which isn't fully covered by the base Foundation schema.
Acceptance Criteria: Migration adds bio (text) and interests (array/tags); repository and schemas updated.</t>
  </si>
  <si>
    <t>RP-002</t>
  </si>
  <si>
    <t>Profile Read &amp; Update API</t>
  </si>
  <si>
    <t>As a resident, I want to view and update my name, photo, bio and interests so my profile reflects who I am.
Acceptance Criteria: GET/PATCH /profile endpoints return and update the resident's own profile only, with standardized validation errors.</t>
  </si>
  <si>
    <t>RP-003</t>
  </si>
  <si>
    <t>View &amp; Edit Profile Screen</t>
  </si>
  <si>
    <t>As a resident, I want a profile screen where I can view and edit my details, including uploading a photo.
Acceptance Criteria: Flutter screen displays current profile, supports inline editing and photo upload via the file-upload service from RV-002.</t>
  </si>
  <si>
    <t>RP-004</t>
  </si>
  <si>
    <t>Profile Testing</t>
  </si>
  <si>
    <t>As a developer, I want tests for profile read/update so regressions are caught before release.
Acceptance Criteria: Tests cover successful update, validation errors, and that residents cannot edit another user's profile.</t>
  </si>
  <si>
    <t>RP-002, RP-003</t>
  </si>
  <si>
    <t>PP-001</t>
  </si>
  <si>
    <t>Privacy Fields on User Preference</t>
  </si>
  <si>
    <t>As a developer, I want profile-visibility settings added to the existing User Preference table (Authentication Module schema already has language/notification flags) so privacy controls live alongside other preferences.
Acceptance Criteria: Migration adds profile_visibility and any missing privacy fields to User Preference.</t>
  </si>
  <si>
    <t>PP-002</t>
  </si>
  <si>
    <t>Privacy &amp; Preferences API</t>
  </si>
  <si>
    <t>As a resident, I want to read and update my privacy and preference settings via API so my choices are saved.
Acceptance Criteria: GET/PATCH /preferences endpoint covers visibility, language and notification toggles from the existing schema.</t>
  </si>
  <si>
    <t>PP-003</t>
  </si>
  <si>
    <t>Privacy &amp; Preferences Settings Screen</t>
  </si>
  <si>
    <t>As a resident, I want a settings screen for privacy and preferences so I can control them without contacting support.
Acceptance Criteria: Flutter screen exposes visibility, language and notification toggles, saved via PP-002.</t>
  </si>
  <si>
    <t>PP-004</t>
  </si>
  <si>
    <t>Preferences Testing</t>
  </si>
  <si>
    <t>As a developer, I want tests for the preferences API and screen so settings changes are reliable.
Acceptance Criteria: Tests cover read, update, and default-value behavior for a new account.</t>
  </si>
  <si>
    <t>PP-002, PP-003</t>
  </si>
  <si>
    <t>CM-001</t>
  </si>
  <si>
    <t>Community Membership Data Model</t>
  </si>
  <si>
    <t>As a developer, I want the Community Membership table (Foundation Module schema) wired up so join requests and approved memberships are tracked per resident.
Acceptance Criteria: Model implemented with status (PENDING/APPROVED/REJECTED) linking User and Community.</t>
  </si>
  <si>
    <t>CM-002</t>
  </si>
  <si>
    <t>Browse Communities &amp; Join Request API</t>
  </si>
  <si>
    <t>As a resident, I want to browse approved communities and request to join one so I can access community features.
Acceptance Criteria: GET /communities lists approved communities; POST /communities/{id}/join creates a PENDING membership request.</t>
  </si>
  <si>
    <t>CM-003</t>
  </si>
  <si>
    <t>Community Selection Screen</t>
  </si>
  <si>
    <t>As a resident, I want a screen to browse and request to join a community so I can do this without leaving the app.
Acceptance Criteria: Flutter screen lists communities and shows my membership status (none/pending/approved) per CM-002.</t>
  </si>
  <si>
    <t>CM-004</t>
  </si>
  <si>
    <t>Community Membership Testing</t>
  </si>
  <si>
    <t>As a developer, I want tests for browsing and join requests so regressions are caught before release.
Acceptance Criteria: Tests cover successful join request, duplicate request handling, and status display.</t>
  </si>
  <si>
    <t>CM-002, CM-003</t>
  </si>
  <si>
    <t>CA-001</t>
  </si>
  <si>
    <t>Community Creation &amp; Management API</t>
  </si>
  <si>
    <t>As a platform administrator, I want to create and manage communities so residents have approved communities to join.
Acceptance Criteria: Admin-only endpoints create/update communities per the Foundation Module schema, enforced by AS-002's role check.</t>
  </si>
  <si>
    <t>AS-002, CM-001</t>
  </si>
  <si>
    <t>CA-002</t>
  </si>
  <si>
    <t>Verification &amp; Membership Review API</t>
  </si>
  <si>
    <t>As a platform administrator, I want to review pending Ejari/DEWA submissions and membership requests so I can approve or reject them.
Acceptance Criteria: Endpoints list pending Verification and Community Membership records and support approve/reject actions with audit logging.</t>
  </si>
  <si>
    <t>RV-002, CM-002</t>
  </si>
  <si>
    <t>CA-003</t>
  </si>
  <si>
    <t>Admin Review Queue Screen</t>
  </si>
  <si>
    <t>As a platform administrator, I want a queue screen listing pending verifications and membership requests so I can process them quickly.
Acceptance Criteria: A minimal admin screen (web or Flutter admin mode - to be decided) lists pending items and supports approve/reject actions via CA-002.</t>
  </si>
  <si>
    <t>CA-004</t>
  </si>
  <si>
    <t>Admin Review Testing</t>
  </si>
  <si>
    <t>As a developer, I want tests for community creation and the review queue so this operational flow is reliable.
Acceptance Criteria: Tests cover create-community, approve/reject transitions, and that only admin roles can access these endpoints.</t>
  </si>
  <si>
    <t>CA-001, CA-002</t>
  </si>
  <si>
    <t>FP-001</t>
  </si>
  <si>
    <t>Post &amp; Post Media Data Model</t>
  </si>
  <si>
    <t>As a developer, I want Post and Post Media tables (Social &amp; Community schema) so posts with text, type (GENERAL/QUESTION/RECOMMENDATION/ALERT/LOST_FOUND) and attached images can be stored.
Acceptance Criteria: Models implemented with community/user foreign keys and the approved post_type/visibility enums.</t>
  </si>
  <si>
    <t>FP-002</t>
  </si>
  <si>
    <t>As a developer, I want a minimal file-upload service so posts (and future features) can attach images.
Acceptance Criteria: Upload endpoint stores files (local/cloud storage per BF-002 config) and returns a Media File reference used by Post Media.</t>
  </si>
  <si>
    <t>FP-003</t>
  </si>
  <si>
    <t>Create Post &amp; Feed Listing API</t>
  </si>
  <si>
    <t>As a resident, I want to create a post with text and images and see my community's feed so I can share and stay informed.
Acceptance Criteria: POST /posts creates a post with attached media; GET /communities/{id}/feed returns a paginated feed.</t>
  </si>
  <si>
    <t>FP-001, FP-002</t>
  </si>
  <si>
    <t>FP-004</t>
  </si>
  <si>
    <t>Create Post &amp; Feed Screen</t>
  </si>
  <si>
    <t>As a resident, I want a screen to write a post with images and scroll my community feed.
Acceptance Criteria: Flutter screen supports an image picker, calls FP-002/FP-003, and renders a paginated feed list.</t>
  </si>
  <si>
    <t>FP-005</t>
  </si>
  <si>
    <t>Feed Testing</t>
  </si>
  <si>
    <t>As a developer, I want tests for post creation and feed listing so regressions are caught before release.
Acceptance Criteria: Tests cover post creation with/without media, pagination, and community-scoping (a resident only sees their own community's feed).</t>
  </si>
  <si>
    <t>FP-003, FP-004</t>
  </si>
  <si>
    <t>PI-001</t>
  </si>
  <si>
    <t>Comment &amp; Post Like Data Model</t>
  </si>
  <si>
    <t>As a developer, I want Comment (with parent_comment_id for threading) and Post Like tables (Social &amp; Community schema) so interactions can be stored.
Acceptance Criteria: Models implemented with foreign keys to Post and User; Post Like is unique per user/post.</t>
  </si>
  <si>
    <t>PI-002</t>
  </si>
  <si>
    <t>Comment, Like &amp; Quick-Reaction API</t>
  </si>
  <si>
    <t>As a resident, I want to comment, like, and use quick reactions (Helpful, Thanks, Love, Great Idea, Interested, Following) on a post so I can engage with my neighbours.
Acceptance Criteria: Endpoints create/list comments (threaded), toggle likes, and record a quick-reaction type per the MVP scope's reaction set.</t>
  </si>
  <si>
    <t>PI-003</t>
  </si>
  <si>
    <t>Comment Thread &amp; Reactions UI</t>
  </si>
  <si>
    <t>As a resident, I want to see and add comments and reactions directly on a post in the feed.
Acceptance Criteria: Flutter feed/post screen shows threaded comments and a reaction picker wired to PI-002.</t>
  </si>
  <si>
    <t>PI-004</t>
  </si>
  <si>
    <t>Interactions Testing</t>
  </si>
  <si>
    <t>As a developer, I want tests for comments, likes and reactions so regressions are caught before release.
Acceptance Criteria: Tests cover comment threading, duplicate-like prevention, and each quick-reaction type.</t>
  </si>
  <si>
    <t>PI-002, PI-003</t>
  </si>
  <si>
    <t>SR-001</t>
  </si>
  <si>
    <t>Saved Post &amp; Report Data Model</t>
  </si>
  <si>
    <t>As a developer, I want Saved Post and Report tables (Social &amp; Community / Moderation schemas) so bookmarks and reports are tracked.
Acceptance Criteria: Models implemented; Report supports entity_type POST or USER with a status of OPEN/UNDER_REVIEW/RESOLVED.</t>
  </si>
  <si>
    <t>SR-002</t>
  </si>
  <si>
    <t>Save &amp; Report API</t>
  </si>
  <si>
    <t>As a resident, I want to save a post for later and report a post or user so inappropriate content can be flagged.
Acceptance Criteria: Endpoints toggle a saved post and create a report with a reason and optional description.</t>
  </si>
  <si>
    <t>SR-003</t>
  </si>
  <si>
    <t>Save Button &amp; Report Dialog UI</t>
  </si>
  <si>
    <t>As a resident, I want a save button on posts and a report option so I can act on content directly from the feed.
Acceptance Criteria: Flutter UI adds a save toggle and a report dialog (reason + details) wired to SR-002.</t>
  </si>
  <si>
    <t>SR-004</t>
  </si>
  <si>
    <t>Save &amp; Report Testing</t>
  </si>
  <si>
    <t>As a developer, I want tests for saving and reporting so regressions are caught before release.
Acceptance Criteria: Tests cover save/unsave, report creation, and duplicate-report handling.</t>
  </si>
  <si>
    <t>SR-002, SR-003</t>
  </si>
  <si>
    <t>CN-001</t>
  </si>
  <si>
    <t>Community Announcement Data Model</t>
  </si>
  <si>
    <t>As a developer, I want the Community Announcement table (Social &amp; Community schema) so priority-flagged announcements are stored separately from regular posts.
Acceptance Criteria: Model implemented with priority (LOW/NORMAL/HIGH/EMERGENCY) and is_active fields.</t>
  </si>
  <si>
    <t>CN-002</t>
  </si>
  <si>
    <t>Publish Announcement API</t>
  </si>
  <si>
    <t>As a platform/community administrator, I want to publish an announcement so residents see important information prominently.
Acceptance Criteria: Admin-only endpoint creates an announcement; residents can list active announcements for their community.</t>
  </si>
  <si>
    <t>CN-001, AS-002</t>
  </si>
  <si>
    <t>CN-003</t>
  </si>
  <si>
    <t>Announcement Banner UI</t>
  </si>
  <si>
    <t>As a resident, I want to see active announcements at the top of my feed so I don't miss important updates.
Acceptance Criteria: Flutter feed screen shows an announcement banner/section sourced from CN-002, styled by priority.</t>
  </si>
  <si>
    <t>CN-004</t>
  </si>
  <si>
    <t>Announcement Testing</t>
  </si>
  <si>
    <t>As a developer, I want tests for announcement publishing and display so regressions are caught before release.
Acceptance Criteria: Tests cover creation, active/inactive filtering, and admin-only enforcement.</t>
  </si>
  <si>
    <t>CN-002, CN-003</t>
  </si>
  <si>
    <t>EV-001</t>
  </si>
  <si>
    <t>Event Data Model</t>
  </si>
  <si>
    <t>As a developer, I want the Event table (Marketplace &amp; Events schema) so events with status (DRAFT/PUBLISHED/COMPLETED/CANCELLED) can be stored.
Acceptance Criteria: Model implemented with community/organizer foreign keys and a cover image reference.</t>
  </si>
  <si>
    <t>EV-002</t>
  </si>
  <si>
    <t>Create &amp; Manage Event API</t>
  </si>
  <si>
    <t>As a resident, I want to create, edit, publish and cancel a community event so I can organize activities.
Acceptance Criteria: Endpoints support the full DRAFT -&gt; PUBLISHED -&gt; COMPLETED/CANCELLED lifecycle, scoped to the organizer or admins.</t>
  </si>
  <si>
    <t>EV-003</t>
  </si>
  <si>
    <t>Create Event &amp; Event Details Screen</t>
  </si>
  <si>
    <t>As a resident, I want a screen to create an event and view its details so I can share it with my community.
Acceptance Criteria: Flutter screens cover event creation (with cover image upload) and a details view wired to EV-002.</t>
  </si>
  <si>
    <t>EV-004</t>
  </si>
  <si>
    <t>Event Management Testing</t>
  </si>
  <si>
    <t>As a developer, I want tests for event creation and lifecycle transitions so regressions are caught before release.
Acceptance Criteria: Tests cover create, publish, cancel, and organizer/admin-only edit enforcement.</t>
  </si>
  <si>
    <t>EV-002, EV-003</t>
  </si>
  <si>
    <t>ER-001</t>
  </si>
  <si>
    <t>Event RSVP Data Model</t>
  </si>
  <si>
    <t>As a developer, I want the Event RSVP table (Marketplace &amp; Events schema) so attendance responses are tracked per resident.
Acceptance Criteria: Model implemented with rsvp_status (GOING/MAYBE/NOT_GOING), unique per user/event. Note: the MVP scope names this option 'Interested' rather than 'Maybe' - confirm the exact label before UI copy is finalized.</t>
  </si>
  <si>
    <t>ER-002</t>
  </si>
  <si>
    <t>RSVP API</t>
  </si>
  <si>
    <t>As a resident, I want to RSVP to an event so the organizer knows who's coming.
Acceptance Criteria: Endpoint sets/updates a resident's RSVP status and returns attendee counts by status.</t>
  </si>
  <si>
    <t>ER-003</t>
  </si>
  <si>
    <t>RSVP Buttons &amp; Attendee List Screen</t>
  </si>
  <si>
    <t>As a resident, I want RSVP buttons on an event and to see the attendee list so I can plan around who's going.
Acceptance Criteria: Flutter event details screen adds RSVP controls and an attendee list wired to ER-002.</t>
  </si>
  <si>
    <t>ER-002, EV-003</t>
  </si>
  <si>
    <t>ER-004</t>
  </si>
  <si>
    <t>RSVP Testing</t>
  </si>
  <si>
    <t>As a developer, I want tests for RSVP so regressions are caught before release.
Acceptance Criteria: Tests cover setting/changing RSVP status and attendee-count accuracy.</t>
  </si>
  <si>
    <t>ER-002, ER-003</t>
  </si>
  <si>
    <t>HR-001</t>
  </si>
  <si>
    <t>Help Request &amp; Help Response Data Model</t>
  </si>
  <si>
    <t>As a developer, I want Help Request and Help Response tables (Marketplace &amp; Events schema) so requests and neighbour responses are stored.
Acceptance Criteria: Models implemented with category, priority, and request_status (OPEN/IN_PROGRESS/RESOLVED/CLOSED).</t>
  </si>
  <si>
    <t>HR-002</t>
  </si>
  <si>
    <t>Create Help Request &amp; Respond API</t>
  </si>
  <si>
    <t>As a resident, I want to create a help request and respond to someone else's so neighbours can assist each other.
Acceptance Criteria: Endpoints create a request, list open requests for the community, and add/mark a response as the accepted solution.</t>
  </si>
  <si>
    <t>HR-003</t>
  </si>
  <si>
    <t>Help Requests Feed &amp; Response Screens</t>
  </si>
  <si>
    <t>As a resident, I want a screen listing open help requests and a way to respond to one.
Acceptance Criteria: Flutter screens list requests by category/priority and support creating a request and adding a response, wired to HR-002.</t>
  </si>
  <si>
    <t>HR-004</t>
  </si>
  <si>
    <t>Help Request Testing</t>
  </si>
  <si>
    <t>As a developer, I want tests for help requests and responses so regressions are caught before release.
Acceptance Criteria: Tests cover creation, response, and marking a response as the solution.</t>
  </si>
  <si>
    <t>HR-002, HR-003</t>
  </si>
  <si>
    <t>LF-001</t>
  </si>
  <si>
    <t>Lost &amp; Found Category Handling</t>
  </si>
  <si>
    <t>As a developer, I want Lost Item, Found Item, and Lost Pet exposed as Help Request categories so Lost &amp; Found reuses the existing schema rather than duplicating it.
Acceptance Criteria: Help Category enum includes these three values; list/filter endpoints support filtering by them.</t>
  </si>
  <si>
    <t>LF-002</t>
  </si>
  <si>
    <t>Lost &amp; Found API Filters</t>
  </si>
  <si>
    <t>As a resident, I want to create and browse lost/found reports so I can help reunite items or pets with their owners.
Acceptance Criteria: Reuses HR-002's endpoints with category filters; a found-item report can reference a matching lost-item report.</t>
  </si>
  <si>
    <t>LF-001, HR-002</t>
  </si>
  <si>
    <t>LF-003</t>
  </si>
  <si>
    <t>Lost &amp; Found Screen</t>
  </si>
  <si>
    <t>As a resident, I want a dedicated Lost &amp; Found view (filtered from Help Requests) so these reports are easy to browse separately.
Acceptance Criteria: Flutter screen filters HR-003's list by the Lost &amp; Found categories with a distinct visual treatment.</t>
  </si>
  <si>
    <t>LF-002, HR-003</t>
  </si>
  <si>
    <t>LF-004</t>
  </si>
  <si>
    <t>Lost &amp; Found Testing</t>
  </si>
  <si>
    <t>As a developer, I want tests for Lost &amp; Found filtering so regressions are caught before release.
Acceptance Criteria: Tests cover category filtering and correct display for each of the three categories.</t>
  </si>
  <si>
    <t>LF-002, LF-003</t>
  </si>
  <si>
    <t>HA-001</t>
  </si>
  <si>
    <t>Humanity Act Category Handling</t>
  </si>
  <si>
    <t>As a developer, I want Emergency, Blood Donation, Volunteer, Charity and Community Support exposed as Help Request categories so Humanity Acts reuse the existing schema.
Acceptance Criteria: Help Category enum includes these values; emergency-category requests are flagged for elevated visibility/priority.</t>
  </si>
  <si>
    <t>HA-002</t>
  </si>
  <si>
    <t>Humanity Act API Filters</t>
  </si>
  <si>
    <t>As a resident, I want to request or offer help for these categories so the community can mobilize quickly, especially for emergencies.
Acceptance Criteria: Reuses HR-002's endpoints with category filters; emergency requests are sorted/surfaced first.</t>
  </si>
  <si>
    <t>HA-001, HR-002</t>
  </si>
  <si>
    <t>HA-003</t>
  </si>
  <si>
    <t>Humanity Acts Screen</t>
  </si>
  <si>
    <t>As a resident, I want a dedicated Humanity Acts view with clear visual distinction for emergencies so urgent needs stand out.
Acceptance Criteria: Flutter screen filters HR-003's list by Humanity Act categories, with distinct styling for Emergency and Blood Donation.</t>
  </si>
  <si>
    <t>HA-002, HR-003</t>
  </si>
  <si>
    <t>HA-004</t>
  </si>
  <si>
    <t>Humanity Acts Testing</t>
  </si>
  <si>
    <t>As a developer, I want tests for Humanity Acts filtering and emergency prioritization so regressions are caught before release.
Acceptance Criteria: Tests cover category filtering and emergency sort order.</t>
  </si>
  <si>
    <t>HA-002, HA-003</t>
  </si>
  <si>
    <t>NT-001</t>
  </si>
  <si>
    <t>Notification Data Model &amp; Background Job Infra</t>
  </si>
  <si>
    <t>As a developer, I want the Notification table (Notifications schema) plus minimal background-job infrastructure so notifications can be generated asynchronously as other features emit events.
Acceptance Criteria: Notification model implemented with notification_type, reference_type/reference_id and is_read; a background job runner is wired up for async delivery.</t>
  </si>
  <si>
    <t>NT-002</t>
  </si>
  <si>
    <t>Push &amp; In-App Delivery API</t>
  </si>
  <si>
    <t>As a resident, I want to receive a push notification and see it in-app so I don't miss activity relevant to me (comments, RSVPs, help responses, etc.).
Acceptance Criteria: Push delivery uses each Device's fcm_token (Authentication Module schema); an in-app list/mark-as-read endpoint is also provided.</t>
  </si>
  <si>
    <t>NT-003</t>
  </si>
  <si>
    <t>Notification Center Screen</t>
  </si>
  <si>
    <t>As a resident, I want a notification center in the app and to receive push notifications on my device.
Acceptance Criteria: Flutter screen lists notifications with read/unread state and handles incoming push notifications.</t>
  </si>
  <si>
    <t>NT-004</t>
  </si>
  <si>
    <t>Notification Testing</t>
  </si>
  <si>
    <t>As a developer, I want tests for notification generation and delivery so regressions are caught before release.
Acceptance Criteria: Tests cover notification creation, push delivery invocation (mocked), and read-state updates.</t>
  </si>
  <si>
    <t>NT-002, NT-003</t>
  </si>
  <si>
    <t>NP-001</t>
  </si>
  <si>
    <t>Notification Preferences API</t>
  </si>
  <si>
    <t>As a resident, I want to control push/email/event/marketing notification toggles so I only get what's relevant to me.
Acceptance Criteria: Extends PP-002's preferences endpoint with the notification-specific flags already present on User Preference. Note: a marketplace_notifications flag exists on this table despite Marketplace being excluded from MVP scope - confirm whether to hide or repurpose it.</t>
  </si>
  <si>
    <t>NP-002</t>
  </si>
  <si>
    <t>Notification Settings Screen</t>
  </si>
  <si>
    <t>As a resident, I want a settings screen for notification preferences so I can manage them without contacting support.
Acceptance Criteria: Flutter screen exposes the toggles from NP-001.</t>
  </si>
  <si>
    <t>NP-003</t>
  </si>
  <si>
    <t>Notification Preferences Testing</t>
  </si>
  <si>
    <t>As a developer, I want tests confirming preference toggles actually suppress notifications so this setting is trustworthy.
Acceptance Criteria: Tests verify a disabled channel does not trigger delivery via NT-002.</t>
  </si>
  <si>
    <t>NP-001, NT-002</t>
  </si>
  <si>
    <t>GS-001</t>
  </si>
  <si>
    <t>Search Query Design &amp; Indexing</t>
  </si>
  <si>
    <t>As a developer, I want a search approach across the five supported entities so results are relevant and fast enough for an MVP.
Acceptance Criteria: Postgres full-text search (or equivalent) indexes are added to User (display_name), Post, Community, Event and Help Request.</t>
  </si>
  <si>
    <t>FP-001, EV-001, HR-001, CM-001</t>
  </si>
  <si>
    <t>GS-002</t>
  </si>
  <si>
    <t>Global Search API</t>
  </si>
  <si>
    <t>As a resident, I want to search and filter by entity type so I can quickly find what I'm looking for.
Acceptance Criteria: GET /search accepts a query and optional entity-type filter, returning ranked results scoped to the resident's community where relevant.</t>
  </si>
  <si>
    <t>GS-003</t>
  </si>
  <si>
    <t>Search Screen</t>
  </si>
  <si>
    <t>As a resident, I want a search screen with result tabs by entity type.
Acceptance Criteria: Flutter screen provides a search bar and tabbed results wired to GS-002.</t>
  </si>
  <si>
    <t>GS-004</t>
  </si>
  <si>
    <t>Search Testing</t>
  </si>
  <si>
    <t>As a developer, I want tests for search relevance and filtering so regressions are caught before release.
Acceptance Criteria: Tests cover per-entity-type filtering and community scoping.</t>
  </si>
  <si>
    <t>GS-002, GS-003</t>
  </si>
  <si>
    <t>MO-001</t>
  </si>
  <si>
    <t>Moderation Action Data Model</t>
  </si>
  <si>
    <t>As a developer, I want the Moderation Action table (Notifications/Moderation schema) so enforcement decisions are recorded against reports.
Acceptance Criteria: Model implemented with action (REMOVE_CONTENT/WARNING/SUSPEND_USER/DISMISS) linked to a Report.</t>
  </si>
  <si>
    <t>MO-002</t>
  </si>
  <si>
    <t>Moderation Queue &amp; Enforcement API</t>
  </si>
  <si>
    <t>As a platform administrator, I want to review open reports and take an enforcement action so inappropriate content and users are handled.
Acceptance Criteria: Endpoints list open reports and apply an action, updating report status and, for SUSPEND_USER, the resident's account_status.</t>
  </si>
  <si>
    <t>MO-001, AS-002</t>
  </si>
  <si>
    <t>MO-003</t>
  </si>
  <si>
    <t>Audit Trail for Moderation Actions</t>
  </si>
  <si>
    <t>As a platform administrator, I want every moderation action logged so decisions are auditable.
Acceptance Criteria: Audit Log entries are written for each moderation action, including moderator, action, and reason.</t>
  </si>
  <si>
    <t>MO-004</t>
  </si>
  <si>
    <t>Moderation Queue Screen</t>
  </si>
  <si>
    <t>As a platform administrator, I want a queue screen for open reports so I can act on them efficiently.
Acceptance Criteria: Admin screen lists open reports with an action selector wired to MO-002.</t>
  </si>
  <si>
    <t>MO-005</t>
  </si>
  <si>
    <t>Moderation Testing</t>
  </si>
  <si>
    <t>As a developer, I want tests for the moderation queue and enforcement actions so this trust-critical flow is reliable.
Acceptance Criteria: Tests cover each action type and resulting account_status changes.</t>
  </si>
  <si>
    <t>MO-002, MO-004</t>
  </si>
  <si>
    <t>AP-001</t>
  </si>
  <si>
    <t>Admin Dashboard API</t>
  </si>
  <si>
    <t>As a platform administrator, I want a dashboard summarizing platform activity so I can see the health of the community at a glance.
Acceptance Criteria: Endpoint returns key counts (residents, communities, open reports, pending verifications) already produced by earlier sprints.</t>
  </si>
  <si>
    <t>CA-002, MO-002</t>
  </si>
  <si>
    <t>AP-002</t>
  </si>
  <si>
    <t>Platform Configuration &amp; Feature Flags API</t>
  </si>
  <si>
    <t>As a platform administrator, I want to manage feature flags and basic configuration so behavior can be adjusted without a code deploy.
Acceptance Criteria: Endpoints read/update a small set of platform config values and feature flags per BF-002's centralized settings pattern.</t>
  </si>
  <si>
    <t>AP-003</t>
  </si>
  <si>
    <t>User Administration API</t>
  </si>
  <si>
    <t>As a platform administrator, I want to search, suspend and reinstate resident accounts so I can manage the user base beyond the moderation queue.
Acceptance Criteria: Endpoints search users and toggle account_status, reusing MO-002's status-change logic.</t>
  </si>
  <si>
    <t>AP-004</t>
  </si>
  <si>
    <t>Admin Dashboard, Config &amp; User Admin Screens</t>
  </si>
  <si>
    <t>As a platform administrator, I want screens for the dashboard, configuration and user list so I can operate the platform without direct database access.
Acceptance Criteria: Screens (web or Flutter admin mode) wire up AP-001 through AP-003.</t>
  </si>
  <si>
    <t>AP-001, AP-002, AP-003</t>
  </si>
  <si>
    <t>AP-005</t>
  </si>
  <si>
    <t>Admin Portal Testing</t>
  </si>
  <si>
    <t>As a developer, I want tests for the admin dashboard, config and user administration so this operational surface is reliable.
Acceptance Criteria: Tests cover dashboard counts, config updates, and suspend/reinstate transitions.</t>
  </si>
  <si>
    <t>PF-001</t>
  </si>
  <si>
    <t>Database &amp; API Performance Review</t>
  </si>
  <si>
    <t>As a developer, I want slow queries and endpoints identified and optimized so the platform performs well under real usage.
Acceptance Criteria: Query plans reviewed for the highest-traffic endpoints (feed, search, notifications); indexes added where missing.</t>
  </si>
  <si>
    <t>PF-002</t>
  </si>
  <si>
    <t>Caching &amp; Scalability Improvements</t>
  </si>
  <si>
    <t>As a developer, I want caching applied to expensive, frequently-read data (feed, community list) so response times remain low as usage grows.
Acceptance Criteria: A caching layer is added with sensible invalidation for feed and community-list reads.</t>
  </si>
  <si>
    <t>PF-003</t>
  </si>
  <si>
    <t>Mobile Performance Profiling</t>
  </si>
  <si>
    <t>As a developer, I want the Flutter app profiled for jank and slow screens so the mobile experience feels responsive.
Acceptance Criteria: Key screens (feed, search) profiled and optimized against a target frame budget.</t>
  </si>
  <si>
    <t>PF-004</t>
  </si>
  <si>
    <t>Load Testing &amp; Benchmarks</t>
  </si>
  <si>
    <t>As a developer, I want load tests against key endpoints so performance regressions are caught before release.
Acceptance Criteria: Baseline benchmarks recorded for feed, search and notification delivery under simulated concurrent load.</t>
  </si>
  <si>
    <t>PF-001, PF-002</t>
  </si>
  <si>
    <t>SH-001</t>
  </si>
  <si>
    <t>Security Testing &amp; Vulnerability Remediation</t>
  </si>
  <si>
    <t>As a platform owner, I want a security pass across the API so known vulnerability classes (injection, broken access control, etc.) are checked and fixed.
Acceptance Criteria: OWASP-aligned review completed; findings triaged and remediated or explicitly accepted.</t>
  </si>
  <si>
    <t>SH-002</t>
  </si>
  <si>
    <t>Platform-Wide Rate Limiting &amp; Abuse Hardening</t>
  </si>
  <si>
    <t>As a platform owner, I want rate limiting extended from auth/registration to all public endpoints so abuse is mitigated everywhere, not just at login.
Acceptance Criteria: Rate limits configured per endpoint category via centralized settings.</t>
  </si>
  <si>
    <t>SH-003</t>
  </si>
  <si>
    <t>Security Sign-Off</t>
  </si>
  <si>
    <t>As a platform owner, I want a documented security sign-off so I know the platform is ready for production traffic.
Acceptance Criteria: Sign-off document lists what was tested, fixed and accepted as residual risk.</t>
  </si>
  <si>
    <t>SH-001, SH-002</t>
  </si>
  <si>
    <t>DV-001</t>
  </si>
  <si>
    <t>CI/CD Pipeline Finalization</t>
  </si>
  <si>
    <t>As a developer, I want a finalized CI/CD pipeline so backend and mobile releases are consistent and low-risk.
Acceptance Criteria: Pipeline runs lint/tests/build for both backend and Flutter on every merge, with a deploy step to the target environment.</t>
  </si>
  <si>
    <t>DV-002</t>
  </si>
  <si>
    <t>Infrastructure, Monitoring &amp; Backups</t>
  </si>
  <si>
    <t>As a platform owner, I want monitoring, alerting and automated backups configured so issues are caught early and data is recoverable.
Acceptance Criteria: Monitoring dashboards and alerts cover API health/error rate; automated database backups are scheduled and verified restorable.</t>
  </si>
  <si>
    <t>QA-001</t>
  </si>
  <si>
    <t>As a platform owner, I want a full end-to-end pass across every feature sprint so the MVP is validated as a whole, not just per-sprint.
Acceptance Criteria: Each MVP feature from 11_MVP_SCOPE.md is exercised manually and via automated E2E tests; issues are logged and triaged.</t>
  </si>
  <si>
    <t>QA-002</t>
  </si>
  <si>
    <t>Documentation &amp; Production Validation Review</t>
  </si>
  <si>
    <t>As a platform owner, I want documentation and production readiness reviewed so the release is well-supported after launch.
Acceptance Criteria: README/API docs updated; production environment validated against the checklist in DV-002.</t>
  </si>
  <si>
    <t>MR-001</t>
  </si>
  <si>
    <t>Production Deployment &amp; Release Sign-Off</t>
  </si>
  <si>
    <t>As a platform owner, I want the MVP deployed to production and formally signed off so it is officially released.
Acceptance Criteria: Deployment completed via DV-001's pipeline; sign-off confirms every Must Have item in 11_MVP_SCOPE.md is live.</t>
  </si>
  <si>
    <t>QA-001, QA-002</t>
  </si>
  <si>
    <t>MR-002</t>
  </si>
  <si>
    <t>Post-Release Monitoring &amp; Hotfix Readiness</t>
  </si>
  <si>
    <t>As a platform owner, I want monitoring and a hotfix process active immediately after release so issues can be caught and fixed quickly.
Acceptance Criteria: On-call/monitoring plan documented; a hotfix deployment path is verified before launch.</t>
  </si>
  <si>
    <t>Release ID</t>
  </si>
  <si>
    <t>Version</t>
  </si>
  <si>
    <t>Release Name</t>
  </si>
  <si>
    <t>Actual Date</t>
  </si>
  <si>
    <t>Milestones Included</t>
  </si>
  <si>
    <t>Notes</t>
  </si>
  <si>
    <t>REL-01</t>
  </si>
  <si>
    <t>v1.0</t>
  </si>
  <si>
    <t>MyCommunity MVP Release</t>
  </si>
  <si>
    <t>ML1-ML24 (all Phase 1-6 milestones)</t>
  </si>
  <si>
    <t>First production release covering the full approved MVP scope.</t>
  </si>
  <si>
    <t>Decision ID</t>
  </si>
  <si>
    <t>Summary</t>
  </si>
  <si>
    <t>Date</t>
  </si>
  <si>
    <t>Reference</t>
  </si>
  <si>
    <t>DEC-001</t>
  </si>
  <si>
    <t>Replace Polls with Ratings &amp; Quick Comments</t>
  </si>
  <si>
    <t>MVP feed engagement scope updated: poll widgets replaced with ratings and quick-comment widgets.</t>
  </si>
  <si>
    <t>Approved</t>
  </si>
  <si>
    <t>docs/AI/10_DECISIONS.md</t>
  </si>
  <si>
    <t>Risk ID</t>
  </si>
  <si>
    <t>Probability</t>
  </si>
  <si>
    <t>Impact</t>
  </si>
  <si>
    <t>Mitigation</t>
  </si>
  <si>
    <t>Story Status</t>
  </si>
  <si>
    <t>Release Status</t>
  </si>
  <si>
    <t>Risk Status</t>
  </si>
  <si>
    <t>Category</t>
  </si>
  <si>
    <t>Currency</t>
  </si>
  <si>
    <t>Payment Method</t>
  </si>
  <si>
    <t>Planned</t>
  </si>
  <si>
    <t>Open</t>
  </si>
  <si>
    <t>Subscriptions &amp; Tools</t>
  </si>
  <si>
    <t>AED</t>
  </si>
  <si>
    <t>Credit Card</t>
  </si>
  <si>
    <t>TBD</t>
  </si>
  <si>
    <t>In Progress</t>
  </si>
  <si>
    <t>Mitigated</t>
  </si>
  <si>
    <t>Hosting &amp; Infrastructure</t>
  </si>
  <si>
    <t>USD</t>
  </si>
  <si>
    <t>Debit Card</t>
  </si>
  <si>
    <t>Released</t>
  </si>
  <si>
    <t>Closed</t>
  </si>
  <si>
    <t>Domain &amp; Licensing</t>
  </si>
  <si>
    <t>EUR</t>
  </si>
  <si>
    <t>Bank Transfer</t>
  </si>
  <si>
    <t>Critical</t>
  </si>
  <si>
    <t>Delayed</t>
  </si>
  <si>
    <t>Design &amp; Assets</t>
  </si>
  <si>
    <t>Cash</t>
  </si>
  <si>
    <t>Marketing</t>
  </si>
  <si>
    <t>Other</t>
  </si>
  <si>
    <t>Professional Services</t>
  </si>
  <si>
    <t>Miscellaneous</t>
  </si>
  <si>
    <t>Expense ID</t>
  </si>
  <si>
    <t>Amount</t>
  </si>
  <si>
    <t>Exchange Rate to AED</t>
  </si>
  <si>
    <t>Amount (AED)</t>
  </si>
  <si>
    <t>Spend (AED)</t>
  </si>
  <si>
    <t>EXP-001</t>
  </si>
  <si>
    <t>Project expense</t>
  </si>
  <si>
    <t>EXP-002</t>
  </si>
  <si>
    <t>Claude subscription</t>
  </si>
  <si>
    <t>TOTAL SPEND (AED)</t>
  </si>
  <si>
    <t>As a developer, I want to implement the foundational Resident User persistence layer by introducing the SQLAlchemy User entity, Alembic migration, and repository so that resident identity data conforms to the approved Firebase-first authentication architecture. The User entity will represent only identity and account metadata, while authentication credentials remain exclusively managed by Firebase. This aligns with the approved Identity &amp; Access and Resident domains, where a User is the aggregate root for future Profile, Device, Session, and Verification entities.
Acceptance Criteria:
Implement a production-ready SQLAlchemy User model using UUID primary keys and the project's shared base entity.
The model includes, at minimum:
id
firebase_uid
mobile_number
email (nullable)
first_name
last_name
profile_photo_url
account_status
Standard audit fields inherited from the base model.
firebase_uid is mandatory and uniquely constrained.
mobile_number is mandatory and uniquely constrained.
email is optional but uniquely constrained when present.
account_status defaults to PENDING_VERIFICATION.
No password, password_hash, password_salt, login_secret, or equivalent credential storage is introduced because authentication is delegated entirely to Firebase.
Generate an Alembic migration that creates the users table, indexes, and all required constraints.
Implement the User repository following the existing repository abstraction and project repository pattern.
Repository exposes only foundational persistence operations required for future authentication stories:
create
get_by_id
get_by_firebase_uid
get_by_mobile_number
get_by_email
exists_by_mobile_number
exists_by_email
Repository contains no business logic.
Migration applies and rolls back successfully.
All existing tests continue to pass, and new repository tests are added where appropriate.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</si>
</sst>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yy"/>
    <numFmt numFmtId="165" formatCode="0\%"/>
    <numFmt numFmtId="166" formatCode="0.000"/>
  </numFmts>
  <fonts count="8" x14ac:knownFonts="1">
    <font>
      <sz val="11"/>
      <color theme="1"/>
      <name val="Calibri"/>
      <family val="2"/>
      <charset val="1"/>
    </font>
    <font>
      <b/>
      <sz val="16"/>
      <color rgb="FF1F3864"/>
      <name val="Aptos Narrow"/>
    </font>
    <font>
      <i/>
      <sz val="9"/>
      <color rgb="FF666666"/>
      <name val="Aptos Narrow"/>
    </font>
    <font>
      <b/>
      <u/>
      <sz val="9"/>
      <color rgb="FF1155CC"/>
      <name val="Aptos Narrow"/>
    </font>
    <font>
      <b/>
      <sz val="11"/>
      <color rgb="FFFFFFFF"/>
      <name val="Aptos Narrow"/>
    </font>
    <font>
      <sz val="10"/>
      <name val="Aptos Narrow"/>
    </font>
    <font>
      <b/>
      <sz val="10"/>
      <name val="Aptos Narrow"/>
    </font>
    <font>
      <u/>
      <sz val="10"/>
      <color rgb="FF1155CC"/>
      <name val="Aptos Narrow"/>
    </font>
  </fonts>
  <fills count="4">
    <fill>
      <patternFill patternType="none"/>
    </fill>
    <fill>
      <patternFill patternType="gray125"/>
    </fill>
    <fill>
      <patternFill patternType="solid">
        <fgColor rgb="FFEEF3FB"/>
        <bgColor rgb="FFE7E6E6"/>
      </patternFill>
    </fill>
    <fill>
      <patternFill patternType="solid">
        <fgColor rgb="FF1F3864"/>
        <bgColor rgb="FF1F4E78"/>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3">
    <xf numFmtId="0" fontId="0" fillId="0" borderId="0" xfId="0"/>
    <xf numFmtId="0" fontId="1" fillId="0" borderId="0" xfId="0" applyFont="1"/>
    <xf numFmtId="0" fontId="2" fillId="0" borderId="0" xfId="0" applyFont="1"/>
    <xf numFmtId="0" fontId="3" fillId="2" borderId="0" xfId="0" applyFont="1" applyFill="1" applyAlignment="1">
      <alignment horizontal="center" vertical="center"/>
    </xf>
    <xf numFmtId="0" fontId="4" fillId="3" borderId="0" xfId="0" applyFont="1" applyFill="1" applyAlignment="1">
      <alignment horizontal="center" vertical="center" wrapText="1"/>
    </xf>
    <xf numFmtId="0" fontId="5" fillId="0" borderId="1" xfId="0" applyFont="1" applyBorder="1" applyAlignment="1">
      <alignment vertical="center"/>
    </xf>
    <xf numFmtId="9" fontId="5" fillId="0" borderId="1" xfId="0" applyNumberFormat="1" applyFont="1" applyBorder="1" applyAlignment="1">
      <alignment vertical="center"/>
    </xf>
    <xf numFmtId="9" fontId="0" fillId="0" borderId="0" xfId="0" applyNumberFormat="1"/>
    <xf numFmtId="0" fontId="6" fillId="0" borderId="1" xfId="0" applyFont="1" applyBorder="1"/>
    <xf numFmtId="4" fontId="5" fillId="0" borderId="1" xfId="0" applyNumberFormat="1" applyFont="1" applyBorder="1"/>
    <xf numFmtId="0" fontId="7" fillId="0" borderId="1" xfId="0" applyFont="1" applyBorder="1" applyAlignment="1">
      <alignment vertical="center"/>
    </xf>
    <xf numFmtId="0" fontId="5" fillId="0" borderId="1" xfId="0" applyFont="1" applyBorder="1" applyAlignment="1">
      <alignment vertical="center" wrapText="1"/>
    </xf>
    <xf numFmtId="164" fontId="5" fillId="0" borderId="1" xfId="0" applyNumberFormat="1" applyFont="1" applyBorder="1" applyAlignment="1">
      <alignment vertical="center"/>
    </xf>
    <xf numFmtId="0" fontId="5" fillId="0" borderId="1" xfId="0" applyFont="1" applyBorder="1" applyAlignment="1">
      <alignment vertical="top"/>
    </xf>
    <xf numFmtId="0" fontId="5" fillId="0" borderId="1" xfId="0" applyFont="1" applyBorder="1" applyAlignment="1">
      <alignment vertical="top" wrapText="1"/>
    </xf>
    <xf numFmtId="165" fontId="5" fillId="0" borderId="1" xfId="0" applyNumberFormat="1" applyFont="1" applyBorder="1" applyAlignment="1">
      <alignment vertical="top"/>
    </xf>
    <xf numFmtId="0" fontId="4" fillId="3" borderId="1" xfId="0" applyFont="1" applyFill="1" applyBorder="1" applyAlignment="1">
      <alignment horizontal="center" vertical="center" wrapText="1"/>
    </xf>
    <xf numFmtId="0" fontId="6" fillId="0" borderId="0" xfId="0" applyFont="1"/>
    <xf numFmtId="4" fontId="5" fillId="0" borderId="1" xfId="0" applyNumberFormat="1" applyFont="1" applyBorder="1" applyAlignment="1">
      <alignment vertical="center"/>
    </xf>
    <xf numFmtId="166" fontId="5" fillId="0" borderId="1" xfId="0" applyNumberFormat="1" applyFont="1" applyBorder="1" applyAlignment="1">
      <alignment vertical="center"/>
    </xf>
    <xf numFmtId="4" fontId="0" fillId="0" borderId="0" xfId="0" applyNumberFormat="1"/>
    <xf numFmtId="4" fontId="6" fillId="2" borderId="0" xfId="0" applyNumberFormat="1" applyFont="1" applyFill="1"/>
    <xf numFmtId="0" fontId="5" fillId="0" borderId="0" xfId="0" applyFont="1" applyAlignment="1">
      <alignment vertical="top"/>
    </xf>
  </cellXfs>
  <cellStyles count="1">
    <cellStyle name="Normal" xfId="0" builtinId="0"/>
  </cellStyles>
  <dxfs count="49">
    <dxf>
      <font>
        <color rgb="FF3B3838"/>
      </font>
      <fill>
        <patternFill>
          <bgColor rgb="FFE7E6E6"/>
        </patternFill>
      </fill>
    </dxf>
    <dxf>
      <font>
        <color rgb="FF3B3838"/>
      </font>
      <fill>
        <patternFill>
          <bgColor rgb="FFE7E6E6"/>
        </patternFill>
      </fill>
    </dxf>
    <dxf>
      <font>
        <color rgb="FF9C0006"/>
      </font>
      <fill>
        <patternFill>
          <bgColor rgb="FFFFC7CE"/>
        </patternFill>
      </fill>
    </dxf>
    <dxf>
      <font>
        <color rgb="FF1F4E78"/>
      </font>
      <fill>
        <patternFill>
          <bgColor rgb="FFBDD7EE"/>
        </patternFill>
      </fill>
    </dxf>
    <dxf>
      <font>
        <color rgb="FF006100"/>
      </font>
      <fill>
        <patternFill>
          <bgColor rgb="FFC6EFCE"/>
        </patternFill>
      </fill>
    </dxf>
    <dxf>
      <font>
        <color rgb="FF006100"/>
      </font>
      <fill>
        <patternFill>
          <bgColor rgb="FFC6EFCE"/>
        </patternFill>
      </fill>
    </dxf>
    <dxf>
      <font>
        <color rgb="FF3B3838"/>
      </font>
      <fill>
        <patternFill>
          <bgColor rgb="FFE7E6E6"/>
        </patternFill>
      </fill>
    </dxf>
    <dxf>
      <font>
        <color rgb="FF3B3838"/>
      </font>
      <fill>
        <patternFill>
          <bgColor rgb="FFE7E6E6"/>
        </patternFill>
      </fill>
    </dxf>
    <dxf>
      <font>
        <color rgb="FF9C0006"/>
      </font>
      <fill>
        <patternFill>
          <bgColor rgb="FFFFC7CE"/>
        </patternFill>
      </fill>
    </dxf>
    <dxf>
      <font>
        <color rgb="FF1F4E78"/>
      </font>
      <fill>
        <patternFill>
          <bgColor rgb="FFBDD7EE"/>
        </patternFill>
      </fill>
    </dxf>
    <dxf>
      <font>
        <color rgb="FF006100"/>
      </font>
      <fill>
        <patternFill>
          <bgColor rgb="FFC6EFCE"/>
        </patternFill>
      </fill>
    </dxf>
    <dxf>
      <font>
        <color rgb="FF006100"/>
      </font>
      <fill>
        <patternFill>
          <bgColor rgb="FFC6EFCE"/>
        </patternFill>
      </fill>
    </dxf>
    <dxf>
      <font>
        <color rgb="FF3B3838"/>
      </font>
      <fill>
        <patternFill>
          <bgColor rgb="FFE7E6E6"/>
        </patternFill>
      </fill>
    </dxf>
    <dxf>
      <font>
        <color rgb="FF3B3838"/>
      </font>
      <fill>
        <patternFill>
          <bgColor rgb="FFE7E6E6"/>
        </patternFill>
      </fill>
    </dxf>
    <dxf>
      <font>
        <color rgb="FF9C0006"/>
      </font>
      <fill>
        <patternFill>
          <bgColor rgb="FFFFC7CE"/>
        </patternFill>
      </fill>
    </dxf>
    <dxf>
      <font>
        <color rgb="FF1F4E78"/>
      </font>
      <fill>
        <patternFill>
          <bgColor rgb="FFBDD7EE"/>
        </patternFill>
      </fill>
    </dxf>
    <dxf>
      <font>
        <color rgb="FF006100"/>
      </font>
      <fill>
        <patternFill>
          <bgColor rgb="FFC6EFCE"/>
        </patternFill>
      </fill>
    </dxf>
    <dxf>
      <font>
        <color rgb="FF006100"/>
      </font>
      <fill>
        <patternFill>
          <bgColor rgb="FFC6EFCE"/>
        </patternFill>
      </fill>
    </dxf>
    <dxf>
      <font>
        <color rgb="FF3B3838"/>
      </font>
      <fill>
        <patternFill>
          <bgColor rgb="FFE7E6E6"/>
        </patternFill>
      </fill>
    </dxf>
    <dxf>
      <font>
        <color rgb="FF3B3838"/>
      </font>
      <fill>
        <patternFill>
          <bgColor rgb="FFE7E6E6"/>
        </patternFill>
      </fill>
    </dxf>
    <dxf>
      <font>
        <color rgb="FF9C0006"/>
      </font>
      <fill>
        <patternFill>
          <bgColor rgb="FFFFC7CE"/>
        </patternFill>
      </fill>
    </dxf>
    <dxf>
      <font>
        <color rgb="FF1F4E78"/>
      </font>
      <fill>
        <patternFill>
          <bgColor rgb="FFBDD7EE"/>
        </patternFill>
      </fill>
    </dxf>
    <dxf>
      <font>
        <color rgb="FF006100"/>
      </font>
      <fill>
        <patternFill>
          <bgColor rgb="FFC6EFCE"/>
        </patternFill>
      </fill>
    </dxf>
    <dxf>
      <font>
        <color rgb="FF006100"/>
      </font>
      <fill>
        <patternFill>
          <bgColor rgb="FFC6EFCE"/>
        </patternFill>
      </fill>
    </dxf>
    <dxf>
      <font>
        <color rgb="FF3B3838"/>
      </font>
      <fill>
        <patternFill>
          <bgColor rgb="FFE7E6E6"/>
        </patternFill>
      </fill>
    </dxf>
    <dxf>
      <font>
        <color rgb="FF3B3838"/>
      </font>
      <fill>
        <patternFill>
          <bgColor rgb="FFE7E6E6"/>
        </patternFill>
      </fill>
    </dxf>
    <dxf>
      <font>
        <color rgb="FF9C0006"/>
      </font>
      <fill>
        <patternFill>
          <bgColor rgb="FFFFC7CE"/>
        </patternFill>
      </fill>
    </dxf>
    <dxf>
      <font>
        <color rgb="FF1F4E78"/>
      </font>
      <fill>
        <patternFill>
          <bgColor rgb="FFBDD7EE"/>
        </patternFill>
      </fill>
    </dxf>
    <dxf>
      <font>
        <color rgb="FF006100"/>
      </font>
      <fill>
        <patternFill>
          <bgColor rgb="FFC6EFCE"/>
        </patternFill>
      </fill>
    </dxf>
    <dxf>
      <font>
        <color rgb="FF006100"/>
      </font>
      <fill>
        <patternFill>
          <bgColor rgb="FFC6EFCE"/>
        </patternFill>
      </fill>
    </dxf>
    <dxf>
      <font>
        <color rgb="FF3B3838"/>
      </font>
      <fill>
        <patternFill>
          <bgColor rgb="FFE7E6E6"/>
        </patternFill>
      </fill>
    </dxf>
    <dxf>
      <font>
        <color rgb="FF3B3838"/>
      </font>
      <fill>
        <patternFill>
          <bgColor rgb="FFE7E6E6"/>
        </patternFill>
      </fill>
    </dxf>
    <dxf>
      <font>
        <color rgb="FF9C0006"/>
      </font>
      <fill>
        <patternFill>
          <bgColor rgb="FFFFC7CE"/>
        </patternFill>
      </fill>
    </dxf>
    <dxf>
      <font>
        <color rgb="FF1F4E78"/>
      </font>
      <fill>
        <patternFill>
          <bgColor rgb="FFBDD7EE"/>
        </patternFill>
      </fill>
    </dxf>
    <dxf>
      <font>
        <color rgb="FF006100"/>
      </font>
      <fill>
        <patternFill>
          <bgColor rgb="FFC6EFCE"/>
        </patternFill>
      </fill>
    </dxf>
    <dxf>
      <font>
        <color rgb="FF006100"/>
      </font>
      <fill>
        <patternFill>
          <bgColor rgb="FFC6EFCE"/>
        </patternFill>
      </fill>
    </dxf>
    <dxf>
      <font>
        <color rgb="FF3B3838"/>
      </font>
      <fill>
        <patternFill>
          <bgColor rgb="FFE7E6E6"/>
        </patternFill>
      </fill>
    </dxf>
    <dxf>
      <font>
        <color rgb="FF3B3838"/>
      </font>
      <fill>
        <patternFill>
          <bgColor rgb="FFE7E6E6"/>
        </patternFill>
      </fill>
    </dxf>
    <dxf>
      <font>
        <color rgb="FF9C0006"/>
      </font>
      <fill>
        <patternFill>
          <bgColor rgb="FFFFC7CE"/>
        </patternFill>
      </fill>
    </dxf>
    <dxf>
      <font>
        <color rgb="FF1F4E78"/>
      </font>
      <fill>
        <patternFill>
          <bgColor rgb="FFBDD7EE"/>
        </patternFill>
      </fill>
    </dxf>
    <dxf>
      <font>
        <color rgb="FF006100"/>
      </font>
      <fill>
        <patternFill>
          <bgColor rgb="FFC6EFCE"/>
        </patternFill>
      </fill>
    </dxf>
    <dxf>
      <font>
        <color rgb="FF006100"/>
      </font>
      <fill>
        <patternFill>
          <bgColor rgb="FFC6EFCE"/>
        </patternFill>
      </fill>
    </dxf>
    <dxf>
      <font>
        <color rgb="FF3B3838"/>
      </font>
      <fill>
        <patternFill>
          <bgColor rgb="FFE7E6E6"/>
        </patternFill>
      </fill>
    </dxf>
    <dxf>
      <font>
        <color rgb="FF3B3838"/>
      </font>
      <fill>
        <patternFill>
          <bgColor rgb="FFE7E6E6"/>
        </patternFill>
      </fill>
    </dxf>
    <dxf>
      <font>
        <color rgb="FF9C0006"/>
      </font>
      <fill>
        <patternFill>
          <bgColor rgb="FFFFC7CE"/>
        </patternFill>
      </fill>
    </dxf>
    <dxf>
      <font>
        <color rgb="FF1F4E78"/>
      </font>
      <fill>
        <patternFill>
          <bgColor rgb="FFBDD7EE"/>
        </patternFill>
      </fill>
    </dxf>
    <dxf>
      <font>
        <color rgb="FF006100"/>
      </font>
      <fill>
        <patternFill>
          <bgColor rgb="FFC6EFCE"/>
        </patternFill>
      </fill>
    </dxf>
    <dxf>
      <font>
        <color rgb="FF006100"/>
      </font>
      <fill>
        <patternFill>
          <bgColor rgb="FFC6EFCE"/>
        </patternFill>
      </fill>
    </dxf>
    <dxf>
      <font>
        <b/>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666666"/>
      <rgbColor rgb="FF800080"/>
      <rgbColor rgb="FF008080"/>
      <rgbColor rgb="FFB3B3B3"/>
      <rgbColor rgb="FF878787"/>
      <rgbColor rgb="FF9999FF"/>
      <rgbColor rgb="FFC0504D"/>
      <rgbColor rgb="FFEEF3FB"/>
      <rgbColor rgb="FFE7E6E6"/>
      <rgbColor rgb="FF660066"/>
      <rgbColor rgb="FFFF8080"/>
      <rgbColor rgb="FF1155CC"/>
      <rgbColor rgb="FFBDD7EE"/>
      <rgbColor rgb="FF000080"/>
      <rgbColor rgb="FFFF00FF"/>
      <rgbColor rgb="FFFFFF00"/>
      <rgbColor rgb="FF00FFFF"/>
      <rgbColor rgb="FF800080"/>
      <rgbColor rgb="FF800000"/>
      <rgbColor rgb="FF008080"/>
      <rgbColor rgb="FF0000FF"/>
      <rgbColor rgb="FF00CCFF"/>
      <rgbColor rgb="FFD9D9D9"/>
      <rgbColor rgb="FFC6EFCE"/>
      <rgbColor rgb="FFFFFF99"/>
      <rgbColor rgb="FF99CCFF"/>
      <rgbColor rgb="FFFF99CC"/>
      <rgbColor rgb="FFCC99FF"/>
      <rgbColor rgb="FFFFC7CE"/>
      <rgbColor rgb="FF4F81BD"/>
      <rgbColor rgb="FF33CCCC"/>
      <rgbColor rgb="FF9BBB59"/>
      <rgbColor rgb="FFFFCC00"/>
      <rgbColor rgb="FFFF9900"/>
      <rgbColor rgb="FFFF6600"/>
      <rgbColor rgb="FF8064A2"/>
      <rgbColor rgb="FF969696"/>
      <rgbColor rgb="FF1F3864"/>
      <rgbColor rgb="FF339966"/>
      <rgbColor rgb="FF003300"/>
      <rgbColor rgb="FF333300"/>
      <rgbColor rgb="FF993300"/>
      <rgbColor rgb="FF993366"/>
      <rgbColor rgb="FF1F4E78"/>
      <rgbColor rgb="FF3B3838"/>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sz="1800" b="1" strike="noStrike" spc="-1">
                <a:solidFill>
                  <a:srgbClr val="000000"/>
                </a:solidFill>
                <a:latin typeface="Calibri"/>
              </a:defRPr>
            </a:pPr>
            <a:r>
              <a:rPr lang="en-GB" sz="1800" b="1" strike="noStrike" spc="-1">
                <a:solidFill>
                  <a:srgbClr val="000000"/>
                </a:solidFill>
                <a:latin typeface="Calibri"/>
              </a:rPr>
              <a:t>Phase Progress</a:t>
            </a:r>
          </a:p>
        </c:rich>
      </c:tx>
      <c:overlay val="0"/>
      <c:spPr>
        <a:noFill/>
        <a:ln w="0">
          <a:noFill/>
          <a:prstDash val="solid"/>
        </a:ln>
      </c:spPr>
    </c:title>
    <c:autoTitleDeleted val="0"/>
    <c:plotArea>
      <c:layout/>
      <c:barChart>
        <c:barDir val="col"/>
        <c:grouping val="clustered"/>
        <c:varyColors val="0"/>
        <c:ser>
          <c:idx val="0"/>
          <c:order val="0"/>
          <c:tx>
            <c:strRef>
              <c:f>Dashboard!$G$7</c:f>
              <c:strCache>
                <c:ptCount val="1"/>
                <c:pt idx="0">
                  <c:v>Progress %</c:v>
                </c:pt>
              </c:strCache>
            </c:strRef>
          </c:tx>
          <c:spPr>
            <a:solidFill>
              <a:srgbClr val="4F81BD"/>
            </a:solidFill>
            <a:ln w="0">
              <a:noFill/>
              <a:prstDash val="solid"/>
            </a:ln>
          </c:spPr>
          <c:invertIfNegative val="0"/>
          <c:dLbls>
            <c:spPr>
              <a:noFill/>
              <a:ln>
                <a:noFill/>
                <a:prstDash val="solid"/>
              </a:ln>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Dashboard!$F$8:$F$13</c:f>
              <c:strCache>
                <c:ptCount val="6"/>
                <c:pt idx="0">
                  <c:v>Platform Foundation</c:v>
                </c:pt>
                <c:pt idx="1">
                  <c:v>Feature Delivery (Vertical Slices)</c:v>
                </c:pt>
                <c:pt idx="2">
                  <c:v>Production Readiness</c:v>
                </c:pt>
                <c:pt idx="3">
                  <c:v>MVP Release</c:v>
                </c:pt>
                <c:pt idx="4">
                  <c:v>0</c:v>
                </c:pt>
                <c:pt idx="5">
                  <c:v>0</c:v>
                </c:pt>
              </c:strCache>
            </c:strRef>
          </c:cat>
          <c:val>
            <c:numRef>
              <c:f>Dashboard!$G$8:$G$13</c:f>
              <c:numCache>
                <c:formatCode>0%</c:formatCode>
                <c:ptCount val="6"/>
                <c:pt idx="0">
                  <c:v>1</c:v>
                </c:pt>
                <c:pt idx="1">
                  <c:v>0</c:v>
                </c:pt>
                <c:pt idx="2">
                  <c:v>0</c:v>
                </c:pt>
                <c:pt idx="3">
                  <c:v>0</c:v>
                </c:pt>
                <c:pt idx="4">
                  <c:v>0</c:v>
                </c:pt>
                <c:pt idx="5">
                  <c:v>0</c:v>
                </c:pt>
              </c:numCache>
            </c:numRef>
          </c:val>
          <c:extLst>
            <c:ext xmlns:c16="http://schemas.microsoft.com/office/drawing/2014/chart" uri="{C3380CC4-5D6E-409C-BE32-E72D297353CC}">
              <c16:uniqueId val="{00000000-7E2A-3E4A-9416-F73F46D8A328}"/>
            </c:ext>
          </c:extLst>
        </c:ser>
        <c:dLbls>
          <c:showLegendKey val="0"/>
          <c:showVal val="0"/>
          <c:showCatName val="0"/>
          <c:showSerName val="0"/>
          <c:showPercent val="0"/>
          <c:showBubbleSize val="0"/>
        </c:dLbls>
        <c:gapWidth val="150"/>
        <c:axId val="64815686"/>
        <c:axId val="55875807"/>
      </c:barChart>
      <c:catAx>
        <c:axId val="64815686"/>
        <c:scaling>
          <c:orientation val="minMax"/>
        </c:scaling>
        <c:delete val="0"/>
        <c:axPos val="b"/>
        <c:numFmt formatCode="General" sourceLinked="0"/>
        <c:majorTickMark val="none"/>
        <c:minorTickMark val="none"/>
        <c:tickLblPos val="nextTo"/>
        <c:spPr>
          <a:ln w="9360">
            <a:solidFill>
              <a:srgbClr val="878787"/>
            </a:solidFill>
            <a:prstDash val="solid"/>
            <a:round/>
          </a:ln>
        </c:spPr>
        <c:txPr>
          <a:bodyPr/>
          <a:lstStyle/>
          <a:p>
            <a:pPr>
              <a:defRPr sz="1000" b="0" strike="noStrike" spc="-1">
                <a:solidFill>
                  <a:srgbClr val="000000"/>
                </a:solidFill>
                <a:latin typeface="Calibri"/>
              </a:defRPr>
            </a:pPr>
            <a:endParaRPr lang="en-US"/>
          </a:p>
        </c:txPr>
        <c:crossAx val="55875807"/>
        <c:crosses val="autoZero"/>
        <c:auto val="1"/>
        <c:lblAlgn val="ctr"/>
        <c:lblOffset val="100"/>
        <c:noMultiLvlLbl val="0"/>
      </c:catAx>
      <c:valAx>
        <c:axId val="55875807"/>
        <c:scaling>
          <c:orientation val="minMax"/>
        </c:scaling>
        <c:delete val="0"/>
        <c:axPos val="l"/>
        <c:majorGridlines>
          <c:spPr>
            <a:ln w="9360">
              <a:solidFill>
                <a:srgbClr val="878787"/>
              </a:solidFill>
              <a:prstDash val="solid"/>
              <a:round/>
            </a:ln>
          </c:spPr>
        </c:majorGridlines>
        <c:title>
          <c:tx>
            <c:rich>
              <a:bodyPr rot="-5400000"/>
              <a:lstStyle/>
              <a:p>
                <a:pPr>
                  <a:defRPr sz="1000" b="1" strike="noStrike" spc="-1">
                    <a:solidFill>
                      <a:srgbClr val="000000"/>
                    </a:solidFill>
                    <a:latin typeface="Calibri"/>
                  </a:defRPr>
                </a:pPr>
                <a:r>
                  <a:rPr lang="en-GB" sz="1000" b="1" strike="noStrike" spc="-1">
                    <a:solidFill>
                      <a:srgbClr val="000000"/>
                    </a:solidFill>
                    <a:latin typeface="Calibri"/>
                  </a:rPr>
                  <a:t>Progress %</a:t>
                </a:r>
              </a:p>
            </c:rich>
          </c:tx>
          <c:overlay val="0"/>
          <c:spPr>
            <a:noFill/>
            <a:ln w="0">
              <a:noFill/>
              <a:prstDash val="solid"/>
            </a:ln>
          </c:spPr>
        </c:title>
        <c:numFmt formatCode="0%" sourceLinked="0"/>
        <c:majorTickMark val="none"/>
        <c:minorTickMark val="none"/>
        <c:tickLblPos val="nextTo"/>
        <c:spPr>
          <a:ln w="9360">
            <a:solidFill>
              <a:srgbClr val="878787"/>
            </a:solidFill>
            <a:prstDash val="solid"/>
            <a:round/>
          </a:ln>
        </c:spPr>
        <c:txPr>
          <a:bodyPr/>
          <a:lstStyle/>
          <a:p>
            <a:pPr>
              <a:defRPr sz="1000" b="0" strike="noStrike" spc="-1">
                <a:solidFill>
                  <a:srgbClr val="000000"/>
                </a:solidFill>
                <a:latin typeface="Calibri"/>
              </a:defRPr>
            </a:pPr>
            <a:endParaRPr lang="en-US"/>
          </a:p>
        </c:txPr>
        <c:crossAx val="64815686"/>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sz="1800" b="1" strike="noStrike" spc="-1">
                <a:solidFill>
                  <a:srgbClr val="000000"/>
                </a:solidFill>
                <a:latin typeface="Calibri"/>
              </a:defRPr>
            </a:pPr>
            <a:r>
              <a:rPr lang="en-GB" sz="1800" b="1" strike="noStrike" spc="-1">
                <a:solidFill>
                  <a:srgbClr val="000000"/>
                </a:solidFill>
                <a:latin typeface="Calibri"/>
              </a:rPr>
              <a:t>Story Status Distribution</a:t>
            </a:r>
          </a:p>
        </c:rich>
      </c:tx>
      <c:overlay val="0"/>
      <c:spPr>
        <a:noFill/>
        <a:ln w="0">
          <a:noFill/>
          <a:prstDash val="solid"/>
        </a:ln>
      </c:spPr>
    </c:title>
    <c:autoTitleDeleted val="0"/>
    <c:plotArea>
      <c:layout/>
      <c:pieChart>
        <c:varyColors val="1"/>
        <c:ser>
          <c:idx val="0"/>
          <c:order val="0"/>
          <c:tx>
            <c:strRef>
              <c:f>Dashboard!$J$6</c:f>
              <c:strCache>
                <c:ptCount val="1"/>
              </c:strCache>
            </c:strRef>
          </c:tx>
          <c:spPr>
            <a:solidFill>
              <a:srgbClr val="4F81BD"/>
            </a:solidFill>
            <a:ln w="0">
              <a:noFill/>
              <a:prstDash val="solid"/>
            </a:ln>
          </c:spPr>
          <c:dPt>
            <c:idx val="0"/>
            <c:bubble3D val="0"/>
            <c:extLst>
              <c:ext xmlns:c16="http://schemas.microsoft.com/office/drawing/2014/chart" uri="{C3380CC4-5D6E-409C-BE32-E72D297353CC}">
                <c16:uniqueId val="{00000001-49F9-B645-8F7E-B2852ED82FD5}"/>
              </c:ext>
            </c:extLst>
          </c:dPt>
          <c:dPt>
            <c:idx val="1"/>
            <c:bubble3D val="0"/>
            <c:spPr>
              <a:solidFill>
                <a:srgbClr val="C0504D"/>
              </a:solidFill>
              <a:ln w="0">
                <a:noFill/>
                <a:prstDash val="solid"/>
              </a:ln>
            </c:spPr>
            <c:extLst>
              <c:ext xmlns:c16="http://schemas.microsoft.com/office/drawing/2014/chart" uri="{C3380CC4-5D6E-409C-BE32-E72D297353CC}">
                <c16:uniqueId val="{00000003-49F9-B645-8F7E-B2852ED82FD5}"/>
              </c:ext>
            </c:extLst>
          </c:dPt>
          <c:dPt>
            <c:idx val="2"/>
            <c:bubble3D val="0"/>
            <c:spPr>
              <a:solidFill>
                <a:srgbClr val="9BBB59"/>
              </a:solidFill>
              <a:ln w="0">
                <a:noFill/>
                <a:prstDash val="solid"/>
              </a:ln>
            </c:spPr>
            <c:extLst>
              <c:ext xmlns:c16="http://schemas.microsoft.com/office/drawing/2014/chart" uri="{C3380CC4-5D6E-409C-BE32-E72D297353CC}">
                <c16:uniqueId val="{00000005-49F9-B645-8F7E-B2852ED82FD5}"/>
              </c:ext>
            </c:extLst>
          </c:dPt>
          <c:dPt>
            <c:idx val="3"/>
            <c:bubble3D val="0"/>
            <c:spPr>
              <a:solidFill>
                <a:srgbClr val="8064A2"/>
              </a:solidFill>
              <a:ln w="0">
                <a:noFill/>
                <a:prstDash val="solid"/>
              </a:ln>
            </c:spPr>
            <c:extLst>
              <c:ext xmlns:c16="http://schemas.microsoft.com/office/drawing/2014/chart" uri="{C3380CC4-5D6E-409C-BE32-E72D297353CC}">
                <c16:uniqueId val="{00000007-49F9-B645-8F7E-B2852ED82FD5}"/>
              </c:ext>
            </c:extLst>
          </c:dPt>
          <c:dLbls>
            <c:dLbl>
              <c:idx val="0"/>
              <c:spPr>
                <a:ln>
                  <a:prstDash val="solid"/>
                </a:ln>
              </c:spPr>
              <c:txPr>
                <a:bodyPr wrap="square"/>
                <a:lstStyle/>
                <a:p>
                  <a:pPr>
                    <a:defRPr sz="1000" b="0" strike="noStrike" spc="-1">
                      <a:solidFill>
                        <a:srgbClr val="000000"/>
                      </a:solidFill>
                      <a:latin typeface="Arial"/>
                    </a:defRPr>
                  </a:pPr>
                  <a:endParaRPr lang="en-US"/>
                </a:p>
              </c:txPr>
              <c:dLblPos val="bestFit"/>
              <c:showLegendKey val="0"/>
              <c:showVal val="0"/>
              <c:showCatName val="0"/>
              <c:showSerName val="0"/>
              <c:showPercent val="0"/>
              <c:showBubbleSize val="1"/>
              <c:extLst>
                <c:ext xmlns:c16="http://schemas.microsoft.com/office/drawing/2014/chart" uri="{C3380CC4-5D6E-409C-BE32-E72D297353CC}">
                  <c16:uniqueId val="{00000001-49F9-B645-8F7E-B2852ED82FD5}"/>
                </c:ext>
              </c:extLst>
            </c:dLbl>
            <c:dLbl>
              <c:idx val="1"/>
              <c:spPr>
                <a:ln>
                  <a:prstDash val="solid"/>
                </a:ln>
              </c:spPr>
              <c:txPr>
                <a:bodyPr wrap="square"/>
                <a:lstStyle/>
                <a:p>
                  <a:pPr>
                    <a:defRPr sz="1000" b="0" strike="noStrike" spc="-1">
                      <a:solidFill>
                        <a:srgbClr val="000000"/>
                      </a:solidFill>
                      <a:latin typeface="Arial"/>
                    </a:defRPr>
                  </a:pPr>
                  <a:endParaRPr lang="en-US"/>
                </a:p>
              </c:txPr>
              <c:dLblPos val="bestFit"/>
              <c:showLegendKey val="0"/>
              <c:showVal val="0"/>
              <c:showCatName val="0"/>
              <c:showSerName val="0"/>
              <c:showPercent val="0"/>
              <c:showBubbleSize val="1"/>
              <c:extLst>
                <c:ext xmlns:c16="http://schemas.microsoft.com/office/drawing/2014/chart" uri="{C3380CC4-5D6E-409C-BE32-E72D297353CC}">
                  <c16:uniqueId val="{00000003-49F9-B645-8F7E-B2852ED82FD5}"/>
                </c:ext>
              </c:extLst>
            </c:dLbl>
            <c:dLbl>
              <c:idx val="2"/>
              <c:spPr>
                <a:ln>
                  <a:prstDash val="solid"/>
                </a:ln>
              </c:spPr>
              <c:txPr>
                <a:bodyPr wrap="square"/>
                <a:lstStyle/>
                <a:p>
                  <a:pPr>
                    <a:defRPr sz="1000" b="0" strike="noStrike" spc="-1">
                      <a:solidFill>
                        <a:srgbClr val="000000"/>
                      </a:solidFill>
                      <a:latin typeface="Arial"/>
                    </a:defRPr>
                  </a:pPr>
                  <a:endParaRPr lang="en-US"/>
                </a:p>
              </c:txPr>
              <c:dLblPos val="bestFit"/>
              <c:showLegendKey val="0"/>
              <c:showVal val="0"/>
              <c:showCatName val="0"/>
              <c:showSerName val="0"/>
              <c:showPercent val="0"/>
              <c:showBubbleSize val="1"/>
              <c:extLst>
                <c:ext xmlns:c16="http://schemas.microsoft.com/office/drawing/2014/chart" uri="{C3380CC4-5D6E-409C-BE32-E72D297353CC}">
                  <c16:uniqueId val="{00000005-49F9-B645-8F7E-B2852ED82FD5}"/>
                </c:ext>
              </c:extLst>
            </c:dLbl>
            <c:dLbl>
              <c:idx val="3"/>
              <c:spPr>
                <a:ln>
                  <a:prstDash val="solid"/>
                </a:ln>
              </c:spPr>
              <c:txPr>
                <a:bodyPr wrap="square"/>
                <a:lstStyle/>
                <a:p>
                  <a:pPr>
                    <a:defRPr sz="1000" b="0" strike="noStrike" spc="-1">
                      <a:solidFill>
                        <a:srgbClr val="000000"/>
                      </a:solidFill>
                      <a:latin typeface="Arial"/>
                    </a:defRPr>
                  </a:pPr>
                  <a:endParaRPr lang="en-US"/>
                </a:p>
              </c:txPr>
              <c:dLblPos val="bestFit"/>
              <c:showLegendKey val="0"/>
              <c:showVal val="0"/>
              <c:showCatName val="0"/>
              <c:showSerName val="0"/>
              <c:showPercent val="0"/>
              <c:showBubbleSize val="1"/>
              <c:extLst>
                <c:ext xmlns:c16="http://schemas.microsoft.com/office/drawing/2014/chart" uri="{C3380CC4-5D6E-409C-BE32-E72D297353CC}">
                  <c16:uniqueId val="{00000007-49F9-B645-8F7E-B2852ED82FD5}"/>
                </c:ext>
              </c:extLst>
            </c:dLbl>
            <c:spPr>
              <a:noFill/>
              <a:ln>
                <a:noFill/>
                <a:prstDash val="solid"/>
              </a:ln>
            </c:spPr>
            <c:txPr>
              <a:bodyPr wrap="square"/>
              <a:lstStyle/>
              <a:p>
                <a:pPr>
                  <a:defRPr sz="1000" b="0" strike="noStrike" spc="-1">
                    <a:solidFill>
                      <a:srgbClr val="000000"/>
                    </a:solidFill>
                    <a:latin typeface="Arial"/>
                  </a:defRPr>
                </a:pPr>
                <a:endParaRPr lang="en-US"/>
              </a:p>
            </c:txPr>
            <c:dLblPos val="bestFit"/>
            <c:showLegendKey val="0"/>
            <c:showVal val="0"/>
            <c:showCatName val="0"/>
            <c:showSerName val="0"/>
            <c:showPercent val="0"/>
            <c:showBubbleSize val="1"/>
            <c:showLeaderLines val="1"/>
            <c:extLst>
              <c:ext xmlns:c15="http://schemas.microsoft.com/office/drawing/2012/chart" uri="{CE6537A1-D6FC-4f65-9D91-7224C49458BB}"/>
            </c:extLst>
          </c:dLbls>
          <c:cat>
            <c:strRef>
              <c:f>Dashboard!$I$7:$I$10</c:f>
              <c:strCache>
                <c:ptCount val="4"/>
                <c:pt idx="0">
                  <c:v>✅ Done</c:v>
                </c:pt>
                <c:pt idx="1">
                  <c:v>🔄 In Progress</c:v>
                </c:pt>
                <c:pt idx="2">
                  <c:v>🚫 Blocked</c:v>
                </c:pt>
                <c:pt idx="3">
                  <c:v>⏳ Not Started</c:v>
                </c:pt>
              </c:strCache>
            </c:strRef>
          </c:cat>
          <c:val>
            <c:numRef>
              <c:f>Dashboard!$J$7:$J$10</c:f>
              <c:numCache>
                <c:formatCode>General</c:formatCode>
                <c:ptCount val="4"/>
                <c:pt idx="0">
                  <c:v>18</c:v>
                </c:pt>
                <c:pt idx="1">
                  <c:v>0</c:v>
                </c:pt>
                <c:pt idx="2">
                  <c:v>0</c:v>
                </c:pt>
                <c:pt idx="3">
                  <c:v>0</c:v>
                </c:pt>
              </c:numCache>
            </c:numRef>
          </c:val>
          <c:extLst>
            <c:ext xmlns:c16="http://schemas.microsoft.com/office/drawing/2014/chart" uri="{C3380CC4-5D6E-409C-BE32-E72D297353CC}">
              <c16:uniqueId val="{00000008-49F9-B645-8F7E-B2852ED82FD5}"/>
            </c:ext>
          </c:extLst>
        </c:ser>
        <c:dLbls>
          <c:showLegendKey val="0"/>
          <c:showVal val="0"/>
          <c:showCatName val="0"/>
          <c:showSerName val="0"/>
          <c:showPercent val="0"/>
          <c:showBubbleSize val="0"/>
          <c:showLeaderLines val="1"/>
        </c:dLbls>
        <c:firstSliceAng val="0"/>
      </c:pieChart>
    </c:plotArea>
    <c:legend>
      <c:legendPos val="r"/>
      <c:overlay val="0"/>
      <c:spPr>
        <a:noFill/>
        <a:ln w="0">
          <a:noFill/>
          <a:prstDash val="solid"/>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sz="1800" b="1" strike="noStrike" spc="-1">
                <a:solidFill>
                  <a:srgbClr val="000000"/>
                </a:solidFill>
                <a:latin typeface="Calibri"/>
              </a:defRPr>
            </a:pPr>
            <a:r>
              <a:rPr lang="en-GB" sz="1800" b="1" strike="noStrike" spc="-1">
                <a:solidFill>
                  <a:srgbClr val="000000"/>
                </a:solidFill>
                <a:latin typeface="Calibri"/>
              </a:rPr>
              <a:t>Spend by Category (AED)</a:t>
            </a:r>
          </a:p>
        </c:rich>
      </c:tx>
      <c:overlay val="0"/>
      <c:spPr>
        <a:noFill/>
        <a:ln w="0">
          <a:noFill/>
          <a:prstDash val="solid"/>
        </a:ln>
      </c:spPr>
    </c:title>
    <c:autoTitleDeleted val="0"/>
    <c:plotArea>
      <c:layout/>
      <c:barChart>
        <c:barDir val="bar"/>
        <c:grouping val="clustered"/>
        <c:varyColors val="0"/>
        <c:ser>
          <c:idx val="0"/>
          <c:order val="0"/>
          <c:tx>
            <c:strRef>
              <c:f>Expenses!$M$1</c:f>
              <c:strCache>
                <c:ptCount val="1"/>
                <c:pt idx="0">
                  <c:v>Spend (AED)</c:v>
                </c:pt>
              </c:strCache>
            </c:strRef>
          </c:tx>
          <c:spPr>
            <a:solidFill>
              <a:srgbClr val="4F81BD"/>
            </a:solidFill>
            <a:ln w="0">
              <a:noFill/>
              <a:prstDash val="solid"/>
            </a:ln>
          </c:spPr>
          <c:invertIfNegative val="0"/>
          <c:dLbls>
            <c:spPr>
              <a:noFill/>
              <a:ln>
                <a:noFill/>
                <a:prstDash val="solid"/>
              </a:ln>
            </c:spPr>
            <c:txPr>
              <a:bodyPr/>
              <a:lstStyle/>
              <a:p>
                <a:pPr>
                  <a:defRPr sz="1000" b="0" strike="noStrike" spc="-1">
                    <a:latin typeface="Arial"/>
                  </a:defRPr>
                </a:pPr>
                <a:endParaRPr lang="en-US"/>
              </a:p>
            </c:tx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Expenses!$L$2:$L$8</c:f>
              <c:strCache>
                <c:ptCount val="7"/>
                <c:pt idx="0">
                  <c:v>Subscriptions &amp; Tools</c:v>
                </c:pt>
                <c:pt idx="1">
                  <c:v>Hosting &amp; Infrastructure</c:v>
                </c:pt>
                <c:pt idx="2">
                  <c:v>Domain &amp; Licensing</c:v>
                </c:pt>
                <c:pt idx="3">
                  <c:v>Design &amp; Assets</c:v>
                </c:pt>
                <c:pt idx="4">
                  <c:v>Marketing</c:v>
                </c:pt>
                <c:pt idx="5">
                  <c:v>Professional Services</c:v>
                </c:pt>
                <c:pt idx="6">
                  <c:v>Miscellaneous</c:v>
                </c:pt>
              </c:strCache>
            </c:strRef>
          </c:cat>
          <c:val>
            <c:numRef>
              <c:f>Expenses!$M$2:$M$8</c:f>
              <c:numCache>
                <c:formatCode>#,##0.00</c:formatCode>
                <c:ptCount val="7"/>
                <c:pt idx="0">
                  <c:v>77.132999999999996</c:v>
                </c:pt>
                <c:pt idx="1">
                  <c:v>0</c:v>
                </c:pt>
                <c:pt idx="2">
                  <c:v>57.5</c:v>
                </c:pt>
                <c:pt idx="3">
                  <c:v>0</c:v>
                </c:pt>
                <c:pt idx="4">
                  <c:v>0</c:v>
                </c:pt>
                <c:pt idx="5">
                  <c:v>0</c:v>
                </c:pt>
                <c:pt idx="6">
                  <c:v>0</c:v>
                </c:pt>
              </c:numCache>
            </c:numRef>
          </c:val>
          <c:extLst>
            <c:ext xmlns:c16="http://schemas.microsoft.com/office/drawing/2014/chart" uri="{C3380CC4-5D6E-409C-BE32-E72D297353CC}">
              <c16:uniqueId val="{00000000-B155-D943-A1B6-D674A54C982F}"/>
            </c:ext>
          </c:extLst>
        </c:ser>
        <c:dLbls>
          <c:showLegendKey val="0"/>
          <c:showVal val="0"/>
          <c:showCatName val="0"/>
          <c:showSerName val="0"/>
          <c:showPercent val="0"/>
          <c:showBubbleSize val="0"/>
        </c:dLbls>
        <c:gapWidth val="150"/>
        <c:axId val="75069860"/>
        <c:axId val="70667387"/>
      </c:barChart>
      <c:catAx>
        <c:axId val="75069860"/>
        <c:scaling>
          <c:orientation val="minMax"/>
        </c:scaling>
        <c:delete val="0"/>
        <c:axPos val="l"/>
        <c:numFmt formatCode="General" sourceLinked="1"/>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70667387"/>
        <c:crosses val="autoZero"/>
        <c:auto val="1"/>
        <c:lblAlgn val="ctr"/>
        <c:lblOffset val="100"/>
        <c:noMultiLvlLbl val="0"/>
      </c:catAx>
      <c:valAx>
        <c:axId val="70667387"/>
        <c:scaling>
          <c:orientation val="minMax"/>
        </c:scaling>
        <c:delete val="0"/>
        <c:axPos val="b"/>
        <c:majorGridlines>
          <c:spPr>
            <a:ln w="0">
              <a:solidFill>
                <a:srgbClr val="B3B3B3"/>
              </a:solidFill>
              <a:prstDash val="solid"/>
            </a:ln>
          </c:spPr>
        </c:majorGridlines>
        <c:numFmt formatCode="#,##0.00" sourceLinked="1"/>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75069860"/>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22</xdr:row>
      <xdr:rowOff>130680</xdr:rowOff>
    </xdr:from>
    <xdr:to>
      <xdr:col>9</xdr:col>
      <xdr:colOff>684000</xdr:colOff>
      <xdr:row>35</xdr:row>
      <xdr:rowOff>173160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22</xdr:row>
      <xdr:rowOff>130680</xdr:rowOff>
    </xdr:from>
    <xdr:to>
      <xdr:col>15</xdr:col>
      <xdr:colOff>493920</xdr:colOff>
      <xdr:row>35</xdr:row>
      <xdr:rowOff>173160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0</xdr:colOff>
      <xdr:row>9</xdr:row>
      <xdr:rowOff>0</xdr:rowOff>
    </xdr:from>
    <xdr:to>
      <xdr:col>18</xdr:col>
      <xdr:colOff>164520</xdr:colOff>
      <xdr:row>24</xdr:row>
      <xdr:rowOff>21960</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haseTracker" displayName="PhaseTracker" ref="A1:F7" totalsRowShown="0">
  <autoFilter ref="A1:F7" xr:uid="{00000000-0009-0000-0100-000001000000}"/>
  <tableColumns count="6">
    <tableColumn id="1" xr3:uid="{00000000-0010-0000-0000-000001000000}" name="Phase ID"/>
    <tableColumn id="2" xr3:uid="{00000000-0010-0000-0000-000002000000}" name="Phase"/>
    <tableColumn id="3" xr3:uid="{00000000-0010-0000-0000-000003000000}" name="Description"/>
    <tableColumn id="4" xr3:uid="{00000000-0010-0000-0000-000004000000}" name="Weight"/>
    <tableColumn id="5" xr3:uid="{00000000-0010-0000-0000-000005000000}" name="Progress %"/>
    <tableColumn id="6" xr3:uid="{00000000-0010-0000-0000-000006000000}" name="Status"/>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ilestonesTbl" displayName="MilestonesTbl" ref="A1:L25" totalsRowShown="0">
  <autoFilter ref="A1:L25" xr:uid="{00000000-0009-0000-0100-000002000000}"/>
  <tableColumns count="12">
    <tableColumn id="1" xr3:uid="{00000000-0010-0000-0100-000001000000}" name="Sr No"/>
    <tableColumn id="2" xr3:uid="{00000000-0010-0000-0100-000002000000}" name="ID"/>
    <tableColumn id="3" xr3:uid="{00000000-0010-0000-0100-000003000000}" name="Phase ID"/>
    <tableColumn id="4" xr3:uid="{00000000-0010-0000-0100-000004000000}" name="Milestone"/>
    <tableColumn id="5" xr3:uid="{00000000-0010-0000-0100-000005000000}" name="Description"/>
    <tableColumn id="6" xr3:uid="{00000000-0010-0000-0100-000006000000}" name="Start Date"/>
    <tableColumn id="7" xr3:uid="{00000000-0010-0000-0100-000007000000}" name="Target Date"/>
    <tableColumn id="8" xr3:uid="{00000000-0010-0000-0100-000008000000}" name="Actual Completion"/>
    <tableColumn id="9" xr3:uid="{00000000-0010-0000-0100-000009000000}" name="Owner"/>
    <tableColumn id="10" xr3:uid="{00000000-0010-0000-0100-00000A000000}" name="Progress %"/>
    <tableColumn id="11" xr3:uid="{00000000-0010-0000-0100-00000B000000}" name="Status"/>
    <tableColumn id="12" xr3:uid="{00000000-0010-0000-0100-00000C000000}" name="Hours Spent"/>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picsTbl" displayName="EpicsTbl" ref="A1:K58" totalsRowShown="0">
  <autoFilter ref="A1:K58" xr:uid="{00000000-0009-0000-0100-000003000000}"/>
  <tableColumns count="11">
    <tableColumn id="1" xr3:uid="{00000000-0010-0000-0200-000001000000}" name="Sr No"/>
    <tableColumn id="2" xr3:uid="{00000000-0010-0000-0200-000002000000}" name="Milestone ID"/>
    <tableColumn id="3" xr3:uid="{00000000-0010-0000-0200-000003000000}" name="Epic Code"/>
    <tableColumn id="4" xr3:uid="{00000000-0010-0000-0200-000004000000}" name="Epic"/>
    <tableColumn id="5" xr3:uid="{00000000-0010-0000-0200-000005000000}" name="Description"/>
    <tableColumn id="6" xr3:uid="{00000000-0010-0000-0200-000006000000}" name="Owner"/>
    <tableColumn id="7" xr3:uid="{00000000-0010-0000-0200-000007000000}" name="Start Date"/>
    <tableColumn id="8" xr3:uid="{00000000-0010-0000-0200-000008000000}" name="Target Date"/>
    <tableColumn id="9" xr3:uid="{00000000-0010-0000-0200-000009000000}" name="Actual Completion"/>
    <tableColumn id="10" xr3:uid="{00000000-0010-0000-0200-00000A000000}" name="Progress %"/>
    <tableColumn id="11" xr3:uid="{00000000-0010-0000-0200-00000B000000}" name="Status"/>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printsTbl" displayName="SprintsTbl" ref="A1:M26" totalsRowShown="0">
  <autoFilter ref="A1:M26" xr:uid="{00000000-0009-0000-0100-000004000000}"/>
  <tableColumns count="13">
    <tableColumn id="1" xr3:uid="{00000000-0010-0000-0300-000001000000}" name="Sprint ID"/>
    <tableColumn id="2" xr3:uid="{00000000-0010-0000-0300-000002000000}" name="Sprint"/>
    <tableColumn id="3" xr3:uid="{00000000-0010-0000-0300-000003000000}" name="Theme"/>
    <tableColumn id="4" xr3:uid="{00000000-0010-0000-0300-000004000000}" name="Goal"/>
    <tableColumn id="5" xr3:uid="{00000000-0010-0000-0300-000005000000}" name="Start Date"/>
    <tableColumn id="6" xr3:uid="{00000000-0010-0000-0300-000006000000}" name="End Date"/>
    <tableColumn id="7" xr3:uid="{00000000-0010-0000-0300-000007000000}" name="Planned Stories"/>
    <tableColumn id="8" xr3:uid="{00000000-0010-0000-0300-000008000000}" name="Completed Stories"/>
    <tableColumn id="9" xr3:uid="{00000000-0010-0000-0300-000009000000}" name="Progress %"/>
    <tableColumn id="10" xr3:uid="{00000000-0010-0000-0300-00000A000000}" name="Status"/>
    <tableColumn id="11" xr3:uid="{00000000-0010-0000-0300-00000B000000}" name="Milestones"/>
    <tableColumn id="12" xr3:uid="{00000000-0010-0000-0300-00000C000000}" name="Phases"/>
    <tableColumn id="13" xr3:uid="{00000000-0010-0000-0300-00000D000000}" name="Summary Document"/>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SprintEpicsTbl" displayName="SprintEpicsTbl" ref="A1:C58" totalsRowShown="0">
  <autoFilter ref="A1:C58" xr:uid="{00000000-0009-0000-0100-000005000000}"/>
  <tableColumns count="3">
    <tableColumn id="1" xr3:uid="{00000000-0010-0000-0400-000001000000}" name="Sprint ID"/>
    <tableColumn id="2" xr3:uid="{00000000-0010-0000-0400-000002000000}" name="Epic Code"/>
    <tableColumn id="3" xr3:uid="{00000000-0010-0000-0400-000003000000}" name="Milestone ID"/>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StoriesTbl" displayName="StoriesTbl" ref="A1:O19" totalsRowShown="0">
  <autoFilter ref="A1:O19" xr:uid="{00000000-0009-0000-0100-000006000000}"/>
  <tableColumns count="15">
    <tableColumn id="1" xr3:uid="{00000000-0010-0000-0500-000001000000}" name="Story ID"/>
    <tableColumn id="2" xr3:uid="{00000000-0010-0000-0500-000002000000}" name="Sprint ID"/>
    <tableColumn id="3" xr3:uid="{00000000-0010-0000-0500-000003000000}" name="Epic Code"/>
    <tableColumn id="4" xr3:uid="{00000000-0010-0000-0500-000004000000}" name="Milestone ID"/>
    <tableColumn id="5" xr3:uid="{00000000-0010-0000-0500-000005000000}" name="Phase ID"/>
    <tableColumn id="6" xr3:uid="{00000000-0010-0000-0500-000006000000}" name="Title"/>
    <tableColumn id="7" xr3:uid="{00000000-0010-0000-0500-000007000000}" name="Description"/>
    <tableColumn id="8" xr3:uid="{00000000-0010-0000-0500-000008000000}" name="Priority"/>
    <tableColumn id="9" xr3:uid="{00000000-0010-0000-0500-000009000000}" name="Estimate (Hours)"/>
    <tableColumn id="10" xr3:uid="{00000000-0010-0000-0500-00000A000000}" name="Actual Hours"/>
    <tableColumn id="11" xr3:uid="{00000000-0010-0000-0500-00000B000000}" name="Story Points"/>
    <tableColumn id="12" xr3:uid="{00000000-0010-0000-0500-00000C000000}" name="Status"/>
    <tableColumn id="13" xr3:uid="{00000000-0010-0000-0500-00000D000000}" name="Assignee"/>
    <tableColumn id="14" xr3:uid="{00000000-0010-0000-0500-00000E000000}" name="Depends On"/>
    <tableColumn id="15" xr3:uid="{00000000-0010-0000-0500-00000F000000}" name="Progress %"/>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ReleasesTbl" displayName="ReleasesTbl" ref="A1:H2" totalsRowShown="0">
  <autoFilter ref="A1:H2" xr:uid="{00000000-0009-0000-0100-000007000000}"/>
  <tableColumns count="8">
    <tableColumn id="1" xr3:uid="{00000000-0010-0000-0600-000001000000}" name="Release ID"/>
    <tableColumn id="2" xr3:uid="{00000000-0010-0000-0600-000002000000}" name="Version"/>
    <tableColumn id="3" xr3:uid="{00000000-0010-0000-0600-000003000000}" name="Release Name"/>
    <tableColumn id="4" xr3:uid="{00000000-0010-0000-0600-000004000000}" name="Target Date"/>
    <tableColumn id="5" xr3:uid="{00000000-0010-0000-0600-000005000000}" name="Actual Date"/>
    <tableColumn id="6" xr3:uid="{00000000-0010-0000-0600-000006000000}" name="Milestones Included"/>
    <tableColumn id="7" xr3:uid="{00000000-0010-0000-0600-000007000000}" name="Status"/>
    <tableColumn id="8" xr3:uid="{00000000-0010-0000-0600-000008000000}" name="Notes"/>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DecisionLogTbl" displayName="DecisionLogTbl" ref="A1:F2" totalsRowShown="0">
  <autoFilter ref="A1:F2" xr:uid="{00000000-0009-0000-0100-000008000000}"/>
  <tableColumns count="6">
    <tableColumn id="1" xr3:uid="{00000000-0010-0000-0700-000001000000}" name="Decision ID"/>
    <tableColumn id="2" xr3:uid="{00000000-0010-0000-0700-000002000000}" name="Title"/>
    <tableColumn id="3" xr3:uid="{00000000-0010-0000-0700-000003000000}" name="Summary"/>
    <tableColumn id="4" xr3:uid="{00000000-0010-0000-0700-000004000000}" name="Status"/>
    <tableColumn id="5" xr3:uid="{00000000-0010-0000-0700-000005000000}" name="Date"/>
    <tableColumn id="6" xr3:uid="{00000000-0010-0000-0700-000006000000}" name="Reference"/>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RisksTbl" displayName="RisksTbl" ref="A1:H2" totalsRowShown="0">
  <autoFilter ref="A1:H2" xr:uid="{00000000-0009-0000-0100-000009000000}"/>
  <tableColumns count="8">
    <tableColumn id="1" xr3:uid="{00000000-0010-0000-0800-000001000000}" name="Risk ID"/>
    <tableColumn id="2" xr3:uid="{00000000-0010-0000-0800-000002000000}" name="Title"/>
    <tableColumn id="3" xr3:uid="{00000000-0010-0000-0800-000003000000}" name="Description"/>
    <tableColumn id="4" xr3:uid="{00000000-0010-0000-0800-000004000000}" name="Probability"/>
    <tableColumn id="5" xr3:uid="{00000000-0010-0000-0800-000005000000}" name="Impact"/>
    <tableColumn id="6" xr3:uid="{00000000-0010-0000-0800-000006000000}" name="Owner"/>
    <tableColumn id="7" xr3:uid="{00000000-0010-0000-0800-000007000000}" name="Mitigation"/>
    <tableColumn id="8" xr3:uid="{00000000-0010-0000-0800-000008000000}" name="Status"/>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ExpensesTbl" displayName="ExpensesTbl" ref="A1:J3" totalsRowShown="0">
  <autoFilter ref="A1:J3" xr:uid="{00000000-0009-0000-0100-00000A000000}"/>
  <tableColumns count="10">
    <tableColumn id="1" xr3:uid="{00000000-0010-0000-0900-000001000000}" name="Expense ID"/>
    <tableColumn id="2" xr3:uid="{00000000-0010-0000-0900-000002000000}" name="Date"/>
    <tableColumn id="3" xr3:uid="{00000000-0010-0000-0900-000003000000}" name="Category"/>
    <tableColumn id="4" xr3:uid="{00000000-0010-0000-0900-000004000000}" name="Description"/>
    <tableColumn id="5" xr3:uid="{00000000-0010-0000-0900-000005000000}" name="Currency"/>
    <tableColumn id="6" xr3:uid="{00000000-0010-0000-0900-000006000000}" name="Amount"/>
    <tableColumn id="7" xr3:uid="{00000000-0010-0000-0900-000007000000}" name="Exchange Rate to AED"/>
    <tableColumn id="8" xr3:uid="{00000000-0010-0000-0900-000008000000}" name="Amount (AED)"/>
    <tableColumn id="9" xr3:uid="{00000000-0010-0000-0900-000009000000}" name="Payment Method"/>
    <tableColumn id="10" xr3:uid="{00000000-0010-0000-0900-00000A000000}" name="Note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Project_Tracker_new.xlsx" TargetMode="External"/><Relationship Id="rId3" Type="http://schemas.openxmlformats.org/officeDocument/2006/relationships/hyperlink" Target="Project_Tracker_new.xlsx" TargetMode="External"/><Relationship Id="rId7" Type="http://schemas.openxmlformats.org/officeDocument/2006/relationships/hyperlink" Target="Project_Tracker_new.xlsx" TargetMode="External"/><Relationship Id="rId2" Type="http://schemas.openxmlformats.org/officeDocument/2006/relationships/hyperlink" Target="Project_Tracker_new.xlsx" TargetMode="External"/><Relationship Id="rId1" Type="http://schemas.openxmlformats.org/officeDocument/2006/relationships/hyperlink" Target="Project_Tracker_new.xlsx" TargetMode="External"/><Relationship Id="rId6" Type="http://schemas.openxmlformats.org/officeDocument/2006/relationships/hyperlink" Target="Project_Tracker_new.xlsx" TargetMode="External"/><Relationship Id="rId5" Type="http://schemas.openxmlformats.org/officeDocument/2006/relationships/hyperlink" Target="Project_Tracker_new.xlsx" TargetMode="External"/><Relationship Id="rId4" Type="http://schemas.openxmlformats.org/officeDocument/2006/relationships/hyperlink" Target="Project_Tracker_new.xlsx"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hyperlink" Target="Project_Tracker_new.xlsx" TargetMode="External"/><Relationship Id="rId13" Type="http://schemas.openxmlformats.org/officeDocument/2006/relationships/hyperlink" Target="Project_Tracker_new.xlsx" TargetMode="External"/><Relationship Id="rId18" Type="http://schemas.openxmlformats.org/officeDocument/2006/relationships/hyperlink" Target="Project_Tracker_new.xlsx" TargetMode="External"/><Relationship Id="rId26" Type="http://schemas.openxmlformats.org/officeDocument/2006/relationships/table" Target="../tables/table2.xml"/><Relationship Id="rId3" Type="http://schemas.openxmlformats.org/officeDocument/2006/relationships/hyperlink" Target="Project_Tracker_new.xlsx" TargetMode="External"/><Relationship Id="rId21" Type="http://schemas.openxmlformats.org/officeDocument/2006/relationships/hyperlink" Target="Project_Tracker_new.xlsx" TargetMode="External"/><Relationship Id="rId7" Type="http://schemas.openxmlformats.org/officeDocument/2006/relationships/hyperlink" Target="Project_Tracker_new.xlsx" TargetMode="External"/><Relationship Id="rId12" Type="http://schemas.openxmlformats.org/officeDocument/2006/relationships/hyperlink" Target="Project_Tracker_new.xlsx" TargetMode="External"/><Relationship Id="rId17" Type="http://schemas.openxmlformats.org/officeDocument/2006/relationships/hyperlink" Target="Project_Tracker_new.xlsx" TargetMode="External"/><Relationship Id="rId25" Type="http://schemas.openxmlformats.org/officeDocument/2006/relationships/vmlDrawing" Target="../drawings/vmlDrawing1.vml"/><Relationship Id="rId2" Type="http://schemas.openxmlformats.org/officeDocument/2006/relationships/hyperlink" Target="Project_Tracker_new.xlsx" TargetMode="External"/><Relationship Id="rId16" Type="http://schemas.openxmlformats.org/officeDocument/2006/relationships/hyperlink" Target="Project_Tracker_new.xlsx" TargetMode="External"/><Relationship Id="rId20" Type="http://schemas.openxmlformats.org/officeDocument/2006/relationships/hyperlink" Target="Project_Tracker_new.xlsx" TargetMode="External"/><Relationship Id="rId1" Type="http://schemas.openxmlformats.org/officeDocument/2006/relationships/hyperlink" Target="Project_Tracker_new.xlsx" TargetMode="External"/><Relationship Id="rId6" Type="http://schemas.openxmlformats.org/officeDocument/2006/relationships/hyperlink" Target="Project_Tracker_new.xlsx" TargetMode="External"/><Relationship Id="rId11" Type="http://schemas.openxmlformats.org/officeDocument/2006/relationships/hyperlink" Target="Project_Tracker_new.xlsx" TargetMode="External"/><Relationship Id="rId24" Type="http://schemas.openxmlformats.org/officeDocument/2006/relationships/hyperlink" Target="Project_Tracker_new.xlsx" TargetMode="External"/><Relationship Id="rId5" Type="http://schemas.openxmlformats.org/officeDocument/2006/relationships/hyperlink" Target="Project_Tracker_new.xlsx" TargetMode="External"/><Relationship Id="rId15" Type="http://schemas.openxmlformats.org/officeDocument/2006/relationships/hyperlink" Target="Project_Tracker_new.xlsx" TargetMode="External"/><Relationship Id="rId23" Type="http://schemas.openxmlformats.org/officeDocument/2006/relationships/hyperlink" Target="Project_Tracker_new.xlsx" TargetMode="External"/><Relationship Id="rId10" Type="http://schemas.openxmlformats.org/officeDocument/2006/relationships/hyperlink" Target="Project_Tracker_new.xlsx" TargetMode="External"/><Relationship Id="rId19" Type="http://schemas.openxmlformats.org/officeDocument/2006/relationships/hyperlink" Target="Project_Tracker_new.xlsx" TargetMode="External"/><Relationship Id="rId4" Type="http://schemas.openxmlformats.org/officeDocument/2006/relationships/hyperlink" Target="Project_Tracker_new.xlsx" TargetMode="External"/><Relationship Id="rId9" Type="http://schemas.openxmlformats.org/officeDocument/2006/relationships/hyperlink" Target="Project_Tracker_new.xlsx" TargetMode="External"/><Relationship Id="rId14" Type="http://schemas.openxmlformats.org/officeDocument/2006/relationships/hyperlink" Target="Project_Tracker_new.xlsx" TargetMode="External"/><Relationship Id="rId22" Type="http://schemas.openxmlformats.org/officeDocument/2006/relationships/hyperlink" Target="Project_Tracker_new.xlsx" TargetMode="External"/><Relationship Id="rId27"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3" Type="http://schemas.openxmlformats.org/officeDocument/2006/relationships/hyperlink" Target="Project_Tracker_new.xlsx" TargetMode="External"/><Relationship Id="rId18" Type="http://schemas.openxmlformats.org/officeDocument/2006/relationships/hyperlink" Target="Project_Tracker_new.xlsx" TargetMode="External"/><Relationship Id="rId26" Type="http://schemas.openxmlformats.org/officeDocument/2006/relationships/hyperlink" Target="Project_Tracker_new.xlsx" TargetMode="External"/><Relationship Id="rId39" Type="http://schemas.openxmlformats.org/officeDocument/2006/relationships/hyperlink" Target="Project_Tracker_new.xlsx" TargetMode="External"/><Relationship Id="rId21" Type="http://schemas.openxmlformats.org/officeDocument/2006/relationships/hyperlink" Target="Project_Tracker_new.xlsx" TargetMode="External"/><Relationship Id="rId34" Type="http://schemas.openxmlformats.org/officeDocument/2006/relationships/hyperlink" Target="Project_Tracker_new.xlsx" TargetMode="External"/><Relationship Id="rId42" Type="http://schemas.openxmlformats.org/officeDocument/2006/relationships/hyperlink" Target="Project_Tracker_new.xlsx" TargetMode="External"/><Relationship Id="rId47" Type="http://schemas.openxmlformats.org/officeDocument/2006/relationships/hyperlink" Target="Project_Tracker_new.xlsx" TargetMode="External"/><Relationship Id="rId50" Type="http://schemas.openxmlformats.org/officeDocument/2006/relationships/hyperlink" Target="Project_Tracker_new.xlsx" TargetMode="External"/><Relationship Id="rId55" Type="http://schemas.openxmlformats.org/officeDocument/2006/relationships/hyperlink" Target="Project_Tracker_new.xlsx" TargetMode="External"/><Relationship Id="rId7" Type="http://schemas.openxmlformats.org/officeDocument/2006/relationships/hyperlink" Target="Project_Tracker_new.xlsx" TargetMode="External"/><Relationship Id="rId2" Type="http://schemas.openxmlformats.org/officeDocument/2006/relationships/hyperlink" Target="Project_Tracker_new.xlsx" TargetMode="External"/><Relationship Id="rId16" Type="http://schemas.openxmlformats.org/officeDocument/2006/relationships/hyperlink" Target="Project_Tracker_new.xlsx" TargetMode="External"/><Relationship Id="rId29" Type="http://schemas.openxmlformats.org/officeDocument/2006/relationships/hyperlink" Target="Project_Tracker_new.xlsx" TargetMode="External"/><Relationship Id="rId11" Type="http://schemas.openxmlformats.org/officeDocument/2006/relationships/hyperlink" Target="Project_Tracker_new.xlsx" TargetMode="External"/><Relationship Id="rId24" Type="http://schemas.openxmlformats.org/officeDocument/2006/relationships/hyperlink" Target="Project_Tracker_new.xlsx" TargetMode="External"/><Relationship Id="rId32" Type="http://schemas.openxmlformats.org/officeDocument/2006/relationships/hyperlink" Target="Project_Tracker_new.xlsx" TargetMode="External"/><Relationship Id="rId37" Type="http://schemas.openxmlformats.org/officeDocument/2006/relationships/hyperlink" Target="Project_Tracker_new.xlsx" TargetMode="External"/><Relationship Id="rId40" Type="http://schemas.openxmlformats.org/officeDocument/2006/relationships/hyperlink" Target="Project_Tracker_new.xlsx" TargetMode="External"/><Relationship Id="rId45" Type="http://schemas.openxmlformats.org/officeDocument/2006/relationships/hyperlink" Target="Project_Tracker_new.xlsx" TargetMode="External"/><Relationship Id="rId53" Type="http://schemas.openxmlformats.org/officeDocument/2006/relationships/hyperlink" Target="Project_Tracker_new.xlsx" TargetMode="External"/><Relationship Id="rId58" Type="http://schemas.openxmlformats.org/officeDocument/2006/relationships/table" Target="../tables/table3.xml"/><Relationship Id="rId5" Type="http://schemas.openxmlformats.org/officeDocument/2006/relationships/hyperlink" Target="Project_Tracker_new.xlsx" TargetMode="External"/><Relationship Id="rId19" Type="http://schemas.openxmlformats.org/officeDocument/2006/relationships/hyperlink" Target="Project_Tracker_new.xlsx" TargetMode="External"/><Relationship Id="rId4" Type="http://schemas.openxmlformats.org/officeDocument/2006/relationships/hyperlink" Target="Project_Tracker_new.xlsx" TargetMode="External"/><Relationship Id="rId9" Type="http://schemas.openxmlformats.org/officeDocument/2006/relationships/hyperlink" Target="Project_Tracker_new.xlsx" TargetMode="External"/><Relationship Id="rId14" Type="http://schemas.openxmlformats.org/officeDocument/2006/relationships/hyperlink" Target="Project_Tracker_new.xlsx" TargetMode="External"/><Relationship Id="rId22" Type="http://schemas.openxmlformats.org/officeDocument/2006/relationships/hyperlink" Target="Project_Tracker_new.xlsx" TargetMode="External"/><Relationship Id="rId27" Type="http://schemas.openxmlformats.org/officeDocument/2006/relationships/hyperlink" Target="Project_Tracker_new.xlsx" TargetMode="External"/><Relationship Id="rId30" Type="http://schemas.openxmlformats.org/officeDocument/2006/relationships/hyperlink" Target="Project_Tracker_new.xlsx" TargetMode="External"/><Relationship Id="rId35" Type="http://schemas.openxmlformats.org/officeDocument/2006/relationships/hyperlink" Target="Project_Tracker_new.xlsx" TargetMode="External"/><Relationship Id="rId43" Type="http://schemas.openxmlformats.org/officeDocument/2006/relationships/hyperlink" Target="Project_Tracker_new.xlsx" TargetMode="External"/><Relationship Id="rId48" Type="http://schemas.openxmlformats.org/officeDocument/2006/relationships/hyperlink" Target="Project_Tracker_new.xlsx" TargetMode="External"/><Relationship Id="rId56" Type="http://schemas.openxmlformats.org/officeDocument/2006/relationships/hyperlink" Target="Project_Tracker_new.xlsx" TargetMode="External"/><Relationship Id="rId8" Type="http://schemas.openxmlformats.org/officeDocument/2006/relationships/hyperlink" Target="Project_Tracker_new.xlsx" TargetMode="External"/><Relationship Id="rId51" Type="http://schemas.openxmlformats.org/officeDocument/2006/relationships/hyperlink" Target="Project_Tracker_new.xlsx" TargetMode="External"/><Relationship Id="rId3" Type="http://schemas.openxmlformats.org/officeDocument/2006/relationships/hyperlink" Target="Project_Tracker_new.xlsx" TargetMode="External"/><Relationship Id="rId12" Type="http://schemas.openxmlformats.org/officeDocument/2006/relationships/hyperlink" Target="Project_Tracker_new.xlsx" TargetMode="External"/><Relationship Id="rId17" Type="http://schemas.openxmlformats.org/officeDocument/2006/relationships/hyperlink" Target="Project_Tracker_new.xlsx" TargetMode="External"/><Relationship Id="rId25" Type="http://schemas.openxmlformats.org/officeDocument/2006/relationships/hyperlink" Target="Project_Tracker_new.xlsx" TargetMode="External"/><Relationship Id="rId33" Type="http://schemas.openxmlformats.org/officeDocument/2006/relationships/hyperlink" Target="Project_Tracker_new.xlsx" TargetMode="External"/><Relationship Id="rId38" Type="http://schemas.openxmlformats.org/officeDocument/2006/relationships/hyperlink" Target="Project_Tracker_new.xlsx" TargetMode="External"/><Relationship Id="rId46" Type="http://schemas.openxmlformats.org/officeDocument/2006/relationships/hyperlink" Target="Project_Tracker_new.xlsx" TargetMode="External"/><Relationship Id="rId20" Type="http://schemas.openxmlformats.org/officeDocument/2006/relationships/hyperlink" Target="Project_Tracker_new.xlsx" TargetMode="External"/><Relationship Id="rId41" Type="http://schemas.openxmlformats.org/officeDocument/2006/relationships/hyperlink" Target="Project_Tracker_new.xlsx" TargetMode="External"/><Relationship Id="rId54" Type="http://schemas.openxmlformats.org/officeDocument/2006/relationships/hyperlink" Target="Project_Tracker_new.xlsx" TargetMode="External"/><Relationship Id="rId1" Type="http://schemas.openxmlformats.org/officeDocument/2006/relationships/hyperlink" Target="Project_Tracker_new.xlsx" TargetMode="External"/><Relationship Id="rId6" Type="http://schemas.openxmlformats.org/officeDocument/2006/relationships/hyperlink" Target="Project_Tracker_new.xlsx" TargetMode="External"/><Relationship Id="rId15" Type="http://schemas.openxmlformats.org/officeDocument/2006/relationships/hyperlink" Target="Project_Tracker_new.xlsx" TargetMode="External"/><Relationship Id="rId23" Type="http://schemas.openxmlformats.org/officeDocument/2006/relationships/hyperlink" Target="Project_Tracker_new.xlsx" TargetMode="External"/><Relationship Id="rId28" Type="http://schemas.openxmlformats.org/officeDocument/2006/relationships/hyperlink" Target="Project_Tracker_new.xlsx" TargetMode="External"/><Relationship Id="rId36" Type="http://schemas.openxmlformats.org/officeDocument/2006/relationships/hyperlink" Target="Project_Tracker_new.xlsx" TargetMode="External"/><Relationship Id="rId49" Type="http://schemas.openxmlformats.org/officeDocument/2006/relationships/hyperlink" Target="Project_Tracker_new.xlsx" TargetMode="External"/><Relationship Id="rId57" Type="http://schemas.openxmlformats.org/officeDocument/2006/relationships/hyperlink" Target="Project_Tracker_new.xlsx" TargetMode="External"/><Relationship Id="rId10" Type="http://schemas.openxmlformats.org/officeDocument/2006/relationships/hyperlink" Target="Project_Tracker_new.xlsx" TargetMode="External"/><Relationship Id="rId31" Type="http://schemas.openxmlformats.org/officeDocument/2006/relationships/hyperlink" Target="Project_Tracker_new.xlsx" TargetMode="External"/><Relationship Id="rId44" Type="http://schemas.openxmlformats.org/officeDocument/2006/relationships/hyperlink" Target="Project_Tracker_new.xlsx" TargetMode="External"/><Relationship Id="rId52" Type="http://schemas.openxmlformats.org/officeDocument/2006/relationships/hyperlink" Target="Project_Tracker_new.xlsx"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hyperlink" Target="Project_Tracker_new.xlsx"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4"/>
  <sheetViews>
    <sheetView showGridLines="0" zoomScaleNormal="100" workbookViewId="0"/>
  </sheetViews>
  <sheetFormatPr baseColWidth="10" defaultColWidth="8.6640625" defaultRowHeight="15" x14ac:dyDescent="0.2"/>
  <cols>
    <col min="1" max="1" width="22" customWidth="1"/>
    <col min="2" max="2" width="16" customWidth="1"/>
    <col min="3" max="3" width="12" customWidth="1"/>
    <col min="4" max="4" width="16" customWidth="1"/>
    <col min="6" max="7" width="16" customWidth="1"/>
    <col min="9" max="10" width="16" customWidth="1"/>
  </cols>
  <sheetData>
    <row r="1" spans="1:10" ht="19.5" customHeight="1" x14ac:dyDescent="0.3">
      <c r="A1" s="1" t="s">
        <v>89</v>
      </c>
    </row>
    <row r="2" spans="1:10" ht="15" customHeight="1" x14ac:dyDescent="0.2">
      <c r="A2" s="2" t="s">
        <v>90</v>
      </c>
    </row>
    <row r="4" spans="1:10" ht="19.5" customHeight="1" x14ac:dyDescent="0.2">
      <c r="A4" s="3" t="s">
        <v>91</v>
      </c>
      <c r="B4" s="3" t="s">
        <v>92</v>
      </c>
      <c r="C4" s="3" t="s">
        <v>93</v>
      </c>
      <c r="D4" s="3" t="s">
        <v>94</v>
      </c>
      <c r="E4" s="3" t="s">
        <v>95</v>
      </c>
      <c r="F4" s="3" t="s">
        <v>96</v>
      </c>
      <c r="G4" s="3" t="s">
        <v>97</v>
      </c>
      <c r="H4" s="3" t="s">
        <v>98</v>
      </c>
    </row>
    <row r="6" spans="1:10" ht="30" customHeight="1" x14ac:dyDescent="0.2">
      <c r="A6" s="4" t="s">
        <v>99</v>
      </c>
      <c r="B6" s="4" t="s">
        <v>100</v>
      </c>
      <c r="C6" s="4" t="s">
        <v>101</v>
      </c>
      <c r="D6" s="4" t="s">
        <v>10</v>
      </c>
      <c r="F6" s="2" t="s">
        <v>102</v>
      </c>
      <c r="I6" s="2" t="s">
        <v>103</v>
      </c>
    </row>
    <row r="7" spans="1:10" ht="18" customHeight="1" x14ac:dyDescent="0.2">
      <c r="A7" s="5" t="s">
        <v>104</v>
      </c>
      <c r="B7" s="6">
        <f>SUMPRODUCT('Phase Tracker'!$E$2:$E$7,'Phase Tracker'!$D$2:$D$7)</f>
        <v>0.1</v>
      </c>
      <c r="C7" s="6">
        <v>1</v>
      </c>
      <c r="D7" s="5" t="str">
        <f>IF(B7=1,"✅ Completed","🔄 In Progress")</f>
        <v>🔄 In Progress</v>
      </c>
      <c r="F7" t="s">
        <v>105</v>
      </c>
      <c r="G7" t="s">
        <v>9</v>
      </c>
      <c r="I7" t="s">
        <v>106</v>
      </c>
      <c r="J7">
        <f>COUNTIF(Stories!$L$2:L$200,"*Done*")</f>
        <v>18</v>
      </c>
    </row>
    <row r="8" spans="1:10" ht="18" customHeight="1" x14ac:dyDescent="0.2">
      <c r="A8" s="5" t="s">
        <v>107</v>
      </c>
      <c r="B8" s="5" t="str">
        <f>IFERROR(INDEX('Phase Tracker'!$A$2:$A$7,MATCH(TRUE(),INDEX('Phase Tracker'!$E$2:$E$7&lt;1,0),0)),"All Phases Complete")</f>
        <v>PH2</v>
      </c>
      <c r="C8" s="5"/>
      <c r="D8" s="5"/>
      <c r="F8" t="str">
        <f>'Phase Tracker'!B2</f>
        <v>Platform Foundation</v>
      </c>
      <c r="G8" s="7">
        <f>'Phase Tracker'!E2</f>
        <v>1</v>
      </c>
      <c r="I8" t="s">
        <v>108</v>
      </c>
      <c r="J8">
        <f>COUNTIF(Stories!$L$2:L$200,"*In Progress*")</f>
        <v>0</v>
      </c>
    </row>
    <row r="9" spans="1:10" ht="18" customHeight="1" x14ac:dyDescent="0.2">
      <c r="A9" s="5" t="s">
        <v>109</v>
      </c>
      <c r="B9" s="5" t="str">
        <f>IFERROR(INDEX(Milestones!$B$2:$B$25,MATCH(1,INDEX((Milestones!$C$2:$C$25=B8)*(Milestones!$J$2:$J$25&lt;1),0),0)),"All Milestones Complete")</f>
        <v>ML2</v>
      </c>
      <c r="C9" s="5"/>
      <c r="D9" s="5"/>
      <c r="F9" t="str">
        <f>'Phase Tracker'!B3</f>
        <v>Feature Delivery (Vertical Slices)</v>
      </c>
      <c r="G9" s="7">
        <f>'Phase Tracker'!E3</f>
        <v>0</v>
      </c>
      <c r="I9" t="s">
        <v>110</v>
      </c>
      <c r="J9">
        <f>COUNTIF(Stories!$L$2:L$200,"*Blocked*")</f>
        <v>0</v>
      </c>
    </row>
    <row r="10" spans="1:10" ht="18" customHeight="1" x14ac:dyDescent="0.2">
      <c r="A10" s="5" t="s">
        <v>111</v>
      </c>
      <c r="B10" s="5" t="str">
        <f>IFERROR(INDEX(Sprints!$A$2:$A$26,MATCH(TRUE(),INDEX(Sprints!$I$2:$I$26&lt;1,0),0)),"All Sprints Complete")</f>
        <v>SP02</v>
      </c>
      <c r="C10" s="5"/>
      <c r="D10" s="5"/>
      <c r="F10" t="str">
        <f>'Phase Tracker'!B4</f>
        <v>Production Readiness</v>
      </c>
      <c r="G10" s="7">
        <f>'Phase Tracker'!E4</f>
        <v>0</v>
      </c>
      <c r="I10" t="s">
        <v>112</v>
      </c>
      <c r="J10">
        <f>COUNTIF(Stories!$L$2:L$200,"*Not Started*")</f>
        <v>0</v>
      </c>
    </row>
    <row r="11" spans="1:10" ht="18" customHeight="1" x14ac:dyDescent="0.2">
      <c r="A11" s="5" t="s">
        <v>113</v>
      </c>
      <c r="B11" s="5">
        <f>COUNTIF('Phase Tracker'!$F$2:$F$7,"*Completed*")</f>
        <v>1</v>
      </c>
      <c r="C11" s="5">
        <f>COUNTA('Phase Tracker'!$A$2:$A$7)</f>
        <v>4</v>
      </c>
      <c r="D11" s="5" t="str">
        <f>IF(B11=C11,"✅ Completed","🔄 In Progress")</f>
        <v>🔄 In Progress</v>
      </c>
      <c r="F11" t="str">
        <f>'Phase Tracker'!B5</f>
        <v>MVP Release</v>
      </c>
      <c r="G11" s="7">
        <f>'Phase Tracker'!E5</f>
        <v>0</v>
      </c>
    </row>
    <row r="12" spans="1:10" ht="18" customHeight="1" x14ac:dyDescent="0.2">
      <c r="A12" s="5" t="s">
        <v>114</v>
      </c>
      <c r="B12" s="5">
        <f>COUNTIF(Milestones!$K$2:$K$25,"*Completed*")</f>
        <v>1</v>
      </c>
      <c r="C12" s="5">
        <f>COUNTA(Milestones!$B$2:$B$25)</f>
        <v>24</v>
      </c>
      <c r="D12" s="5" t="str">
        <f>IF(B12=C12,"✅ Completed","🔄 In Progress")</f>
        <v>🔄 In Progress</v>
      </c>
      <c r="F12">
        <f>'Phase Tracker'!B6</f>
        <v>0</v>
      </c>
      <c r="G12" s="7">
        <f>'Phase Tracker'!E6</f>
        <v>0</v>
      </c>
    </row>
    <row r="13" spans="1:10" ht="18" customHeight="1" x14ac:dyDescent="0.2">
      <c r="A13" s="5" t="s">
        <v>115</v>
      </c>
      <c r="B13" s="5">
        <f>COUNTIF(Epics!$K$2:K$100,"*Completed*")</f>
        <v>1</v>
      </c>
      <c r="C13" s="5">
        <f>COUNTA(Epics!$C$2:C$100)</f>
        <v>60</v>
      </c>
      <c r="D13" s="5" t="str">
        <f>IF(B13=C13,"✅ Completed","🔄 In Progress")</f>
        <v>🔄 In Progress</v>
      </c>
      <c r="F13">
        <f>'Phase Tracker'!B7</f>
        <v>0</v>
      </c>
      <c r="G13" s="7">
        <f>'Phase Tracker'!E7</f>
        <v>0</v>
      </c>
    </row>
    <row r="14" spans="1:10" ht="18" customHeight="1" x14ac:dyDescent="0.2">
      <c r="A14" s="5" t="s">
        <v>116</v>
      </c>
      <c r="B14" s="5">
        <f>COUNTIF(Stories!$L$2:L$200,"*Done*")</f>
        <v>18</v>
      </c>
      <c r="C14" s="5">
        <f>B15</f>
        <v>124</v>
      </c>
      <c r="D14" s="5" t="str">
        <f>IF(B14=C14,"✅ Completed","🔄 In Progress")</f>
        <v>🔄 In Progress</v>
      </c>
    </row>
    <row r="15" spans="1:10" ht="18" customHeight="1" x14ac:dyDescent="0.2">
      <c r="A15" s="5" t="s">
        <v>117</v>
      </c>
      <c r="B15" s="5">
        <f>COUNTA(Stories!$A$2:A$200)</f>
        <v>124</v>
      </c>
      <c r="C15" s="5"/>
      <c r="D15" s="5"/>
    </row>
    <row r="16" spans="1:10" ht="18" customHeight="1" x14ac:dyDescent="0.2">
      <c r="A16" s="5" t="s">
        <v>118</v>
      </c>
      <c r="B16" s="5" t="str">
        <f>Releases!$B$2&amp;" – "&amp;Releases!$C$2&amp;" ("&amp;Releases!$G$2&amp;")"</f>
        <v>v1.0 – MyCommunity MVP Release (Planned)</v>
      </c>
      <c r="C16" s="5"/>
      <c r="D16" s="5"/>
    </row>
    <row r="17" spans="1:4" ht="18" customHeight="1" x14ac:dyDescent="0.2">
      <c r="A17" s="5" t="s">
        <v>119</v>
      </c>
      <c r="B17" s="5" t="str">
        <f>IF(SUM(COUNTIF('Phase Tracker'!$F$2:$F$7,"*Blocked*"),COUNTIF(Milestones!$K$2:$K$25,"*Blocked*"),COUNTIF(Epics!$K$2:K$100,"*Blocked*"),COUNTIF(Sprints!$J$2:$J$26,"*Blocked*"),COUNTIF(Stories!$L$2:L$200,"*Blocked*"))&gt;0,"🔴 At Risk",IF(B7=1,"🟢 Complete","🟢 On Track"))</f>
        <v>🟢 On Track</v>
      </c>
      <c r="C17" s="5"/>
      <c r="D17" s="5"/>
    </row>
    <row r="18" spans="1:4" ht="18" customHeight="1" x14ac:dyDescent="0.2">
      <c r="A18" s="5" t="s">
        <v>120</v>
      </c>
      <c r="B18" s="5" t="str">
        <f>IFERROR(INDEX(Sprints!$A$2:$A$26,MATCH(B10,Sprints!$A$2:$A$26,0)+1),"N/A")</f>
        <v>SP03</v>
      </c>
      <c r="C18" s="5"/>
      <c r="D18" s="5"/>
    </row>
    <row r="19" spans="1:4" ht="18" customHeight="1" x14ac:dyDescent="0.2">
      <c r="A19" s="5" t="s">
        <v>121</v>
      </c>
      <c r="B19" s="5">
        <f>COUNTIF(Stories!$L$2:L$200,"*Blocked*")</f>
        <v>0</v>
      </c>
      <c r="C19" s="5">
        <v>0</v>
      </c>
      <c r="D19" s="5" t="str">
        <f>IF(B19=0,"✅ Good","🚫 Blocked")</f>
        <v>✅ Good</v>
      </c>
    </row>
    <row r="20" spans="1:4" ht="18" customHeight="1" x14ac:dyDescent="0.2">
      <c r="A20" s="5" t="s">
        <v>122</v>
      </c>
      <c r="B20" s="5">
        <f>COUNTIF(Risks!$H$2:$H$200,"Open")</f>
        <v>0</v>
      </c>
      <c r="C20" s="5">
        <v>0</v>
      </c>
      <c r="D20" s="5" t="str">
        <f>IF(B20=0,"✅ Good","🔴 At Risk")</f>
        <v>✅ Good</v>
      </c>
    </row>
    <row r="21" spans="1:4" ht="18" customHeight="1" x14ac:dyDescent="0.2">
      <c r="A21" s="5" t="s">
        <v>123</v>
      </c>
      <c r="B21" s="6">
        <f>B7</f>
        <v>0.1</v>
      </c>
      <c r="C21" s="6">
        <v>1</v>
      </c>
      <c r="D21" s="5" t="str">
        <f>IF(B21=1,"✅ Completed","🔄 In Progress")</f>
        <v>🔄 In Progress</v>
      </c>
    </row>
    <row r="24" spans="1:4" ht="18" customHeight="1" x14ac:dyDescent="0.2">
      <c r="A24" s="8" t="s">
        <v>124</v>
      </c>
      <c r="B24" s="9">
        <f>Expenses!H5</f>
        <v>134.63299999999998</v>
      </c>
    </row>
  </sheetData>
  <conditionalFormatting sqref="B7">
    <cfRule type="dataBar" priority="8">
      <dataBar>
        <cfvo type="num" val="0"/>
        <cfvo type="num" val="1"/>
        <color rgb="FF638EC6"/>
      </dataBar>
    </cfRule>
  </conditionalFormatting>
  <conditionalFormatting sqref="B17">
    <cfRule type="expression" dxfId="48" priority="10">
      <formula>ISNUMBER(SEARCH("At Risk",D17))</formula>
    </cfRule>
  </conditionalFormatting>
  <conditionalFormatting sqref="B21">
    <cfRule type="dataBar" priority="9">
      <dataBar>
        <cfvo type="num" val="0"/>
        <cfvo type="num" val="1"/>
        <color rgb="FF638EC6"/>
      </dataBar>
    </cfRule>
  </conditionalFormatting>
  <conditionalFormatting sqref="D7:D21">
    <cfRule type="expression" dxfId="47" priority="2">
      <formula>ISNUMBER(SEARCH("Completed",D7))</formula>
    </cfRule>
    <cfRule type="expression" dxfId="46" priority="3">
      <formula>ISNUMBER(SEARCH("Done",D7))</formula>
    </cfRule>
    <cfRule type="expression" dxfId="45" priority="4">
      <formula>ISNUMBER(SEARCH("Progress",D7))</formula>
    </cfRule>
    <cfRule type="expression" dxfId="44" priority="5">
      <formula>ISNUMBER(SEARCH("Blocked",D7))</formula>
    </cfRule>
    <cfRule type="expression" dxfId="43" priority="6">
      <formula>ISNUMBER(SEARCH("Planned",D7))</formula>
    </cfRule>
    <cfRule type="expression" dxfId="42" priority="7">
      <formula>ISNUMBER(SEARCH("Not Started",D7))</formula>
    </cfRule>
  </conditionalFormatting>
  <hyperlinks>
    <hyperlink ref="A4" r:id="rId1" location="'Phase%20Tracker'!A1" xr:uid="{00000000-0004-0000-0000-000000000000}"/>
    <hyperlink ref="B4" r:id="rId2" location="'Milestones'!A1" xr:uid="{00000000-0004-0000-0000-000001000000}"/>
    <hyperlink ref="C4" r:id="rId3" location="'Epics'!A1" xr:uid="{00000000-0004-0000-0000-000002000000}"/>
    <hyperlink ref="D4" r:id="rId4" location="'Sprints'!A1" xr:uid="{00000000-0004-0000-0000-000003000000}"/>
    <hyperlink ref="E4" r:id="rId5" location="'Stories'!A1" xr:uid="{00000000-0004-0000-0000-000004000000}"/>
    <hyperlink ref="F4" r:id="rId6" location="'Releases'!A1" xr:uid="{00000000-0004-0000-0000-000005000000}"/>
    <hyperlink ref="G4" r:id="rId7" location="'Risks'!A1" xr:uid="{00000000-0004-0000-0000-000006000000}"/>
    <hyperlink ref="H4" r:id="rId8" location="'Decision_Log'!A1" xr:uid="{00000000-0004-0000-0000-000007000000}"/>
  </hyperlinks>
  <pageMargins left="0.75" right="0.75" top="1" bottom="1" header="0.511811023622047" footer="0.511811023622047"/>
  <pageSetup paperSize="9" orientation="portrait" horizontalDpi="300" verticalDpi="300"/>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
  <sheetViews>
    <sheetView zoomScaleNormal="100" workbookViewId="0">
      <pane ySplit="1" topLeftCell="A2" activePane="bottomLeft" state="frozen"/>
      <selection pane="bottomLeft"/>
    </sheetView>
  </sheetViews>
  <sheetFormatPr baseColWidth="10" defaultColWidth="8.6640625" defaultRowHeight="15" x14ac:dyDescent="0.2"/>
  <cols>
    <col min="1" max="1" width="10" customWidth="1"/>
    <col min="2" max="2" width="26" customWidth="1"/>
    <col min="3" max="3" width="60" customWidth="1"/>
    <col min="4" max="4" width="10" customWidth="1"/>
    <col min="5" max="5" width="12" customWidth="1"/>
    <col min="6" max="6" width="16" customWidth="1"/>
  </cols>
  <sheetData>
    <row r="1" spans="1:6" ht="30" customHeight="1" x14ac:dyDescent="0.2">
      <c r="A1" s="4" t="s">
        <v>2</v>
      </c>
      <c r="B1" s="4" t="s">
        <v>105</v>
      </c>
      <c r="C1" s="4" t="s">
        <v>4</v>
      </c>
      <c r="D1" s="4" t="s">
        <v>125</v>
      </c>
      <c r="E1" s="4" t="s">
        <v>9</v>
      </c>
      <c r="F1" s="4" t="s">
        <v>10</v>
      </c>
    </row>
    <row r="2" spans="1:6" ht="34.5" customHeight="1" x14ac:dyDescent="0.2">
      <c r="A2" t="s">
        <v>13</v>
      </c>
      <c r="B2" t="s">
        <v>126</v>
      </c>
      <c r="C2" t="s">
        <v>127</v>
      </c>
      <c r="D2">
        <v>0.1</v>
      </c>
      <c r="E2">
        <v>1</v>
      </c>
      <c r="F2" t="s">
        <v>128</v>
      </c>
    </row>
    <row r="3" spans="1:6" ht="34.5" customHeight="1" x14ac:dyDescent="0.2">
      <c r="A3" t="s">
        <v>18</v>
      </c>
      <c r="B3" t="s">
        <v>129</v>
      </c>
      <c r="C3" t="s">
        <v>130</v>
      </c>
      <c r="D3">
        <v>0.65</v>
      </c>
      <c r="E3">
        <v>0</v>
      </c>
      <c r="F3" t="s">
        <v>131</v>
      </c>
    </row>
    <row r="4" spans="1:6" ht="34.5" customHeight="1" x14ac:dyDescent="0.2">
      <c r="A4" t="s">
        <v>73</v>
      </c>
      <c r="B4" t="s">
        <v>132</v>
      </c>
      <c r="C4" t="s">
        <v>133</v>
      </c>
      <c r="D4">
        <v>0.2</v>
      </c>
      <c r="E4">
        <v>0</v>
      </c>
      <c r="F4" t="s">
        <v>131</v>
      </c>
    </row>
    <row r="5" spans="1:6" ht="34.5" customHeight="1" x14ac:dyDescent="0.2">
      <c r="A5" t="s">
        <v>86</v>
      </c>
      <c r="B5" t="s">
        <v>134</v>
      </c>
      <c r="C5" t="s">
        <v>135</v>
      </c>
      <c r="D5">
        <v>0.05</v>
      </c>
      <c r="E5">
        <v>0</v>
      </c>
      <c r="F5" t="s">
        <v>131</v>
      </c>
    </row>
    <row r="6" spans="1:6" ht="34.5" customHeight="1" x14ac:dyDescent="0.2"/>
    <row r="7" spans="1:6" ht="23.25" customHeight="1" x14ac:dyDescent="0.2"/>
  </sheetData>
  <conditionalFormatting sqref="E2:E7">
    <cfRule type="dataBar" priority="8">
      <dataBar>
        <cfvo type="num" val="0"/>
        <cfvo type="num" val="100"/>
        <color rgb="FF638EC6"/>
      </dataBar>
    </cfRule>
  </conditionalFormatting>
  <conditionalFormatting sqref="F2:F7">
    <cfRule type="expression" dxfId="41" priority="2">
      <formula>ISNUMBER(SEARCH("Completed",F2))</formula>
    </cfRule>
    <cfRule type="expression" dxfId="40" priority="3">
      <formula>ISNUMBER(SEARCH("Done",F2))</formula>
    </cfRule>
    <cfRule type="expression" dxfId="39" priority="4">
      <formula>ISNUMBER(SEARCH("Progress",F2))</formula>
    </cfRule>
    <cfRule type="expression" dxfId="38" priority="5">
      <formula>ISNUMBER(SEARCH("Blocked",F2))</formula>
    </cfRule>
    <cfRule type="expression" dxfId="37" priority="6">
      <formula>ISNUMBER(SEARCH("Planned",F2))</formula>
    </cfRule>
    <cfRule type="expression" dxfId="36" priority="7">
      <formula>ISNUMBER(SEARCH("Not Started",F2))</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5"/>
  <sheetViews>
    <sheetView zoomScale="167" zoomScaleNormal="100" workbookViewId="0">
      <pane ySplit="1" topLeftCell="A2" activePane="bottomLeft" state="frozen"/>
      <selection pane="bottomLeft" activeCell="E15" sqref="E15"/>
    </sheetView>
  </sheetViews>
  <sheetFormatPr baseColWidth="10" defaultColWidth="8.6640625" defaultRowHeight="15" x14ac:dyDescent="0.2"/>
  <cols>
    <col min="1" max="1" width="7" customWidth="1"/>
    <col min="2" max="2" width="8" customWidth="1"/>
    <col min="3" max="3" width="10" customWidth="1"/>
    <col min="4" max="4" width="30" customWidth="1"/>
    <col min="5" max="5" width="46" customWidth="1"/>
    <col min="6" max="7" width="13" customWidth="1"/>
    <col min="8" max="8" width="15" customWidth="1"/>
    <col min="9" max="9" width="10" customWidth="1"/>
    <col min="10" max="10" width="12" customWidth="1"/>
    <col min="11" max="11" width="16" customWidth="1"/>
    <col min="12" max="12" width="12" customWidth="1"/>
  </cols>
  <sheetData>
    <row r="1" spans="1:12" ht="30" customHeight="1" x14ac:dyDescent="0.2">
      <c r="A1" s="4" t="s">
        <v>0</v>
      </c>
      <c r="B1" s="4" t="s">
        <v>1</v>
      </c>
      <c r="C1" s="4" t="s">
        <v>2</v>
      </c>
      <c r="D1" s="4" t="s">
        <v>3</v>
      </c>
      <c r="E1" s="4" t="s">
        <v>4</v>
      </c>
      <c r="F1" s="4" t="s">
        <v>5</v>
      </c>
      <c r="G1" s="4" t="s">
        <v>6</v>
      </c>
      <c r="H1" s="4" t="s">
        <v>7</v>
      </c>
      <c r="I1" s="4" t="s">
        <v>8</v>
      </c>
      <c r="J1" s="4" t="s">
        <v>9</v>
      </c>
      <c r="K1" s="4" t="s">
        <v>10</v>
      </c>
      <c r="L1" s="4" t="s">
        <v>11</v>
      </c>
    </row>
    <row r="2" spans="1:12" ht="34.5" customHeight="1" x14ac:dyDescent="0.2">
      <c r="A2" s="5">
        <v>1</v>
      </c>
      <c r="B2" s="10" t="s">
        <v>12</v>
      </c>
      <c r="C2" s="5" t="s">
        <v>13</v>
      </c>
      <c r="D2" s="11" t="s">
        <v>14</v>
      </c>
      <c r="E2" s="11" t="s">
        <v>15</v>
      </c>
      <c r="F2" s="12">
        <v>46206</v>
      </c>
      <c r="G2" s="12">
        <v>46206</v>
      </c>
      <c r="H2" s="12" t="s">
        <v>16</v>
      </c>
      <c r="I2" s="5">
        <v>17</v>
      </c>
      <c r="J2" s="6">
        <f>IFERROR(AVERAGEIF(Epics!$B$2:B$100,B2,Epics!$J$2:J$100),0)</f>
        <v>1</v>
      </c>
      <c r="K2" s="5" t="str">
        <f>IF(COUNTIFS(Epics!$B$2:B$100,B2,Epics!$K$2:K$100,"*Blocked*")&gt;0,"🚫 Blocked",IF(J2=1,"✅ Completed",IF(J2&gt;0,"🔄 In Progress","⏳ Planned")))</f>
        <v>✅ Completed</v>
      </c>
      <c r="L2" s="5">
        <f>IF(SUMIF(Stories!$D$2:D$200,B2,Stories!$J$2:J$200)=0,IF(B2="ML1",17,0),SUMIF(Stories!$D$2:D$200,B2,Stories!$J$2:J$200))</f>
        <v>17</v>
      </c>
    </row>
    <row r="3" spans="1:12" ht="34.5" customHeight="1" x14ac:dyDescent="0.2">
      <c r="A3" s="5">
        <v>2</v>
      </c>
      <c r="B3" s="10" t="s">
        <v>17</v>
      </c>
      <c r="C3" s="5" t="s">
        <v>18</v>
      </c>
      <c r="D3" s="11" t="s">
        <v>19</v>
      </c>
      <c r="E3" s="11" t="s">
        <v>20</v>
      </c>
      <c r="F3" s="12"/>
      <c r="G3" s="12"/>
      <c r="H3" s="12"/>
      <c r="I3" s="5"/>
      <c r="J3" s="6">
        <f>IFERROR(AVERAGEIF(Epics!$B$2:B$100,B3,Epics!$J$2:J$100),0)</f>
        <v>0</v>
      </c>
      <c r="K3" s="5" t="str">
        <f>IF(COUNTIFS(Epics!$B$2:B$100,B3,Epics!$K$2:K$100,"*Blocked*")&gt;0,"🚫 Blocked",IF(J3=1,"✅ Completed",IF(J3&gt;0,"🔄 In Progress","⏳ Planned")))</f>
        <v>⏳ Planned</v>
      </c>
      <c r="L3" s="5">
        <f>IF(SUMIF(Stories!$D$2:D$200,B3,Stories!$J$2:J$200)=0,IF(B3="ML1",17,0),SUMIF(Stories!$D$2:D$200,B3,Stories!$J$2:J$200))</f>
        <v>0</v>
      </c>
    </row>
    <row r="4" spans="1:12" ht="23.25" customHeight="1" x14ac:dyDescent="0.2">
      <c r="A4" s="5">
        <v>3</v>
      </c>
      <c r="B4" s="10" t="s">
        <v>21</v>
      </c>
      <c r="C4" s="5" t="s">
        <v>18</v>
      </c>
      <c r="D4" s="11" t="s">
        <v>22</v>
      </c>
      <c r="E4" s="11" t="s">
        <v>23</v>
      </c>
      <c r="F4" s="12"/>
      <c r="G4" s="12"/>
      <c r="H4" s="12"/>
      <c r="I4" s="5"/>
      <c r="J4" s="6">
        <f>IFERROR(AVERAGEIF(Epics!$B$2:B$100,B4,Epics!$J$2:J$100),0)</f>
        <v>0</v>
      </c>
      <c r="K4" s="5" t="str">
        <f>IF(COUNTIFS(Epics!$B$2:B$100,B4,Epics!$K$2:K$100,"*Blocked*")&gt;0,"🚫 Blocked",IF(J4=1,"✅ Completed",IF(J4&gt;0,"🔄 In Progress","⏳ Planned")))</f>
        <v>⏳ Planned</v>
      </c>
      <c r="L4" s="5">
        <f>IF(SUMIF(Stories!$D$2:D$200,B4,Stories!$J$2:J$200)=0,IF(B4="ML1",17,0),SUMIF(Stories!$D$2:D$200,B4,Stories!$J$2:J$200))</f>
        <v>0</v>
      </c>
    </row>
    <row r="5" spans="1:12" ht="23.25" customHeight="1" x14ac:dyDescent="0.2">
      <c r="A5" s="5">
        <v>4</v>
      </c>
      <c r="B5" s="10" t="s">
        <v>24</v>
      </c>
      <c r="C5" s="5" t="s">
        <v>18</v>
      </c>
      <c r="D5" s="11" t="s">
        <v>25</v>
      </c>
      <c r="E5" s="11" t="s">
        <v>26</v>
      </c>
      <c r="F5" s="12"/>
      <c r="G5" s="12"/>
      <c r="H5" s="12"/>
      <c r="I5" s="5"/>
      <c r="J5" s="6">
        <f>IFERROR(AVERAGEIF(Epics!$B$2:B$100,B5,Epics!$J$2:J$100),0)</f>
        <v>0</v>
      </c>
      <c r="K5" s="5" t="str">
        <f>IF(COUNTIFS(Epics!$B$2:B$100,B5,Epics!$K$2:K$100,"*Blocked*")&gt;0,"🚫 Blocked",IF(J5=1,"✅ Completed",IF(J5&gt;0,"🔄 In Progress","⏳ Planned")))</f>
        <v>⏳ Planned</v>
      </c>
      <c r="L5" s="5">
        <f>IF(SUMIF(Stories!$D$2:D$200,B5,Stories!$J$2:J$200)=0,IF(B5="ML1",17,0),SUMIF(Stories!$D$2:D$200,B5,Stories!$J$2:J$200))</f>
        <v>0</v>
      </c>
    </row>
    <row r="6" spans="1:12" ht="34.5" customHeight="1" x14ac:dyDescent="0.2">
      <c r="A6" s="5">
        <v>5</v>
      </c>
      <c r="B6" s="10" t="s">
        <v>27</v>
      </c>
      <c r="C6" s="5" t="s">
        <v>18</v>
      </c>
      <c r="D6" s="11" t="s">
        <v>28</v>
      </c>
      <c r="E6" s="11" t="s">
        <v>29</v>
      </c>
      <c r="F6" s="12"/>
      <c r="G6" s="12"/>
      <c r="H6" s="12"/>
      <c r="I6" s="5"/>
      <c r="J6" s="6">
        <f>IFERROR(AVERAGEIF(Epics!$B$2:B$100,B6,Epics!$J$2:J$100),0)</f>
        <v>0</v>
      </c>
      <c r="K6" s="5" t="str">
        <f>IF(COUNTIFS(Epics!$B$2:B$100,B6,Epics!$K$2:K$100,"*Blocked*")&gt;0,"🚫 Blocked",IF(J6=1,"✅ Completed",IF(J6&gt;0,"🔄 In Progress","⏳ Planned")))</f>
        <v>⏳ Planned</v>
      </c>
      <c r="L6" s="5">
        <f>IF(SUMIF(Stories!$D$2:D$200,B6,Stories!$J$2:J$200)=0,IF(B6="ML1",17,0),SUMIF(Stories!$D$2:D$200,B6,Stories!$J$2:J$200))</f>
        <v>0</v>
      </c>
    </row>
    <row r="7" spans="1:12" ht="23.25" customHeight="1" x14ac:dyDescent="0.2">
      <c r="A7" s="5">
        <v>6</v>
      </c>
      <c r="B7" s="10" t="s">
        <v>30</v>
      </c>
      <c r="C7" s="5" t="s">
        <v>18</v>
      </c>
      <c r="D7" s="11" t="s">
        <v>31</v>
      </c>
      <c r="E7" s="11" t="s">
        <v>32</v>
      </c>
      <c r="F7" s="12"/>
      <c r="G7" s="12"/>
      <c r="H7" s="12"/>
      <c r="I7" s="5"/>
      <c r="J7" s="6">
        <f>IFERROR(AVERAGEIF(Epics!$B$2:B$100,B7,Epics!$J$2:J$100),0)</f>
        <v>0</v>
      </c>
      <c r="K7" s="5" t="str">
        <f>IF(COUNTIFS(Epics!$B$2:B$100,B7,Epics!$K$2:K$100,"*Blocked*")&gt;0,"🚫 Blocked",IF(J7=1,"✅ Completed",IF(J7&gt;0,"🔄 In Progress","⏳ Planned")))</f>
        <v>⏳ Planned</v>
      </c>
      <c r="L7" s="5">
        <f>IF(SUMIF(Stories!$D$2:D$200,B7,Stories!$J$2:J$200)=0,IF(B7="ML1",17,0),SUMIF(Stories!$D$2:D$200,B7,Stories!$J$2:J$200))</f>
        <v>0</v>
      </c>
    </row>
    <row r="8" spans="1:12" ht="34.5" customHeight="1" x14ac:dyDescent="0.2">
      <c r="A8" s="5">
        <v>7</v>
      </c>
      <c r="B8" s="10" t="s">
        <v>33</v>
      </c>
      <c r="C8" s="5" t="s">
        <v>18</v>
      </c>
      <c r="D8" s="11" t="s">
        <v>34</v>
      </c>
      <c r="E8" s="11" t="s">
        <v>35</v>
      </c>
      <c r="F8" s="12"/>
      <c r="G8" s="12"/>
      <c r="H8" s="12"/>
      <c r="I8" s="5"/>
      <c r="J8" s="6">
        <f>IFERROR(AVERAGEIF(Epics!$B$2:B$100,B8,Epics!$J$2:J$100),0)</f>
        <v>0</v>
      </c>
      <c r="K8" s="5" t="str">
        <f>IF(COUNTIFS(Epics!$B$2:B$100,B8,Epics!$K$2:K$100,"*Blocked*")&gt;0,"🚫 Blocked",IF(J8=1,"✅ Completed",IF(J8&gt;0,"🔄 In Progress","⏳ Planned")))</f>
        <v>⏳ Planned</v>
      </c>
      <c r="L8" s="5">
        <f>IF(SUMIF(Stories!$D$2:D$200,B8,Stories!$J$2:J$200)=0,IF(B8="ML1",17,0),SUMIF(Stories!$D$2:D$200,B8,Stories!$J$2:J$200))</f>
        <v>0</v>
      </c>
    </row>
    <row r="9" spans="1:12" ht="23.25" customHeight="1" x14ac:dyDescent="0.2">
      <c r="A9" s="5">
        <v>8</v>
      </c>
      <c r="B9" s="10" t="s">
        <v>36</v>
      </c>
      <c r="C9" s="5" t="s">
        <v>18</v>
      </c>
      <c r="D9" s="11" t="s">
        <v>37</v>
      </c>
      <c r="E9" s="11" t="s">
        <v>38</v>
      </c>
      <c r="F9" s="12"/>
      <c r="G9" s="12"/>
      <c r="H9" s="12"/>
      <c r="I9" s="5"/>
      <c r="J9" s="6">
        <f>IFERROR(AVERAGEIF(Epics!$B$2:B$100,B9,Epics!$J$2:J$100),0)</f>
        <v>0</v>
      </c>
      <c r="K9" s="5" t="str">
        <f>IF(COUNTIFS(Epics!$B$2:B$100,B9,Epics!$K$2:K$100,"*Blocked*")&gt;0,"🚫 Blocked",IF(J9=1,"✅ Completed",IF(J9&gt;0,"🔄 In Progress","⏳ Planned")))</f>
        <v>⏳ Planned</v>
      </c>
      <c r="L9" s="5">
        <f>IF(SUMIF(Stories!$D$2:D$200,B9,Stories!$J$2:J$200)=0,IF(B9="ML1",17,0),SUMIF(Stories!$D$2:D$200,B9,Stories!$J$2:J$200))</f>
        <v>0</v>
      </c>
    </row>
    <row r="10" spans="1:12" ht="34.5" customHeight="1" x14ac:dyDescent="0.2">
      <c r="A10" s="5">
        <v>9</v>
      </c>
      <c r="B10" s="10" t="s">
        <v>39</v>
      </c>
      <c r="C10" s="5" t="s">
        <v>18</v>
      </c>
      <c r="D10" s="11" t="s">
        <v>40</v>
      </c>
      <c r="E10" s="11" t="s">
        <v>41</v>
      </c>
      <c r="F10" s="12"/>
      <c r="G10" s="12"/>
      <c r="H10" s="12"/>
      <c r="I10" s="5"/>
      <c r="J10" s="6">
        <f>IFERROR(AVERAGEIF(Epics!$B$2:B$100,B10,Epics!$J$2:J$100),0)</f>
        <v>0</v>
      </c>
      <c r="K10" s="5" t="str">
        <f>IF(COUNTIFS(Epics!$B$2:B$100,B10,Epics!$K$2:K$100,"*Blocked*")&gt;0,"🚫 Blocked",IF(J10=1,"✅ Completed",IF(J10&gt;0,"🔄 In Progress","⏳ Planned")))</f>
        <v>⏳ Planned</v>
      </c>
      <c r="L10" s="5">
        <f>IF(SUMIF(Stories!$D$2:D$200,B10,Stories!$J$2:J$200)=0,IF(B10="ML1",17,0),SUMIF(Stories!$D$2:D$200,B10,Stories!$J$2:J$200))</f>
        <v>0</v>
      </c>
    </row>
    <row r="11" spans="1:12" ht="34.5" customHeight="1" x14ac:dyDescent="0.2">
      <c r="A11" s="5">
        <v>10</v>
      </c>
      <c r="B11" s="10" t="s">
        <v>42</v>
      </c>
      <c r="C11" s="5" t="s">
        <v>18</v>
      </c>
      <c r="D11" s="11" t="s">
        <v>43</v>
      </c>
      <c r="E11" s="11" t="s">
        <v>44</v>
      </c>
      <c r="F11" s="12"/>
      <c r="G11" s="12"/>
      <c r="H11" s="12"/>
      <c r="I11" s="5"/>
      <c r="J11" s="6">
        <f>IFERROR(AVERAGEIF(Epics!$B$2:B$100,B11,Epics!$J$2:J$100),0)</f>
        <v>0</v>
      </c>
      <c r="K11" s="5" t="str">
        <f>IF(COUNTIFS(Epics!$B$2:B$100,B11,Epics!$K$2:K$100,"*Blocked*")&gt;0,"🚫 Blocked",IF(J11=1,"✅ Completed",IF(J11&gt;0,"🔄 In Progress","⏳ Planned")))</f>
        <v>⏳ Planned</v>
      </c>
      <c r="L11" s="5">
        <f>IF(SUMIF(Stories!$D$2:D$200,B11,Stories!$J$2:J$200)=0,IF(B11="ML1",17,0),SUMIF(Stories!$D$2:D$200,B11,Stories!$J$2:J$200))</f>
        <v>0</v>
      </c>
    </row>
    <row r="12" spans="1:12" ht="23.25" customHeight="1" x14ac:dyDescent="0.2">
      <c r="A12" s="5">
        <v>11</v>
      </c>
      <c r="B12" s="10" t="s">
        <v>45</v>
      </c>
      <c r="C12" s="5" t="s">
        <v>18</v>
      </c>
      <c r="D12" s="11" t="s">
        <v>46</v>
      </c>
      <c r="E12" s="11" t="s">
        <v>47</v>
      </c>
      <c r="F12" s="12"/>
      <c r="G12" s="12"/>
      <c r="H12" s="12"/>
      <c r="I12" s="5"/>
      <c r="J12" s="6">
        <f>IFERROR(AVERAGEIF(Epics!$B$2:B$100,B12,Epics!$J$2:J$100),0)</f>
        <v>0</v>
      </c>
      <c r="K12" s="5" t="str">
        <f>IF(COUNTIFS(Epics!$B$2:B$100,B12,Epics!$K$2:K$100,"*Blocked*")&gt;0,"🚫 Blocked",IF(J12=1,"✅ Completed",IF(J12&gt;0,"🔄 In Progress","⏳ Planned")))</f>
        <v>⏳ Planned</v>
      </c>
      <c r="L12" s="5">
        <f>IF(SUMIF(Stories!$D$2:D$200,B12,Stories!$J$2:J$200)=0,IF(B12="ML1",17,0),SUMIF(Stories!$D$2:D$200,B12,Stories!$J$2:J$200))</f>
        <v>0</v>
      </c>
    </row>
    <row r="13" spans="1:12" ht="23.25" customHeight="1" x14ac:dyDescent="0.2">
      <c r="A13" s="5">
        <v>12</v>
      </c>
      <c r="B13" s="10" t="s">
        <v>48</v>
      </c>
      <c r="C13" s="5" t="s">
        <v>18</v>
      </c>
      <c r="D13" s="11" t="s">
        <v>49</v>
      </c>
      <c r="E13" s="11" t="s">
        <v>50</v>
      </c>
      <c r="F13" s="12"/>
      <c r="G13" s="12"/>
      <c r="H13" s="12"/>
      <c r="I13" s="5"/>
      <c r="J13" s="6">
        <f>IFERROR(AVERAGEIF(Epics!$B$2:B$100,B13,Epics!$J$2:J$100),0)</f>
        <v>0</v>
      </c>
      <c r="K13" s="5" t="str">
        <f>IF(COUNTIFS(Epics!$B$2:B$100,B13,Epics!$K$2:K$100,"*Blocked*")&gt;0,"🚫 Blocked",IF(J13=1,"✅ Completed",IF(J13&gt;0,"🔄 In Progress","⏳ Planned")))</f>
        <v>⏳ Planned</v>
      </c>
      <c r="L13" s="5">
        <f>IF(SUMIF(Stories!$D$2:D$200,B13,Stories!$J$2:J$200)=0,IF(B13="ML1",17,0),SUMIF(Stories!$D$2:D$200,B13,Stories!$J$2:J$200))</f>
        <v>0</v>
      </c>
    </row>
    <row r="14" spans="1:12" ht="34.5" customHeight="1" x14ac:dyDescent="0.2">
      <c r="A14" s="5">
        <v>13</v>
      </c>
      <c r="B14" s="10" t="s">
        <v>51</v>
      </c>
      <c r="C14" s="5" t="s">
        <v>18</v>
      </c>
      <c r="D14" s="11" t="s">
        <v>52</v>
      </c>
      <c r="E14" s="11" t="s">
        <v>53</v>
      </c>
      <c r="F14" s="12"/>
      <c r="G14" s="12"/>
      <c r="H14" s="12"/>
      <c r="I14" s="5"/>
      <c r="J14" s="6">
        <f>IFERROR(AVERAGEIF(Epics!$B$2:B$100,B14,Epics!$J$2:J$100),0)</f>
        <v>0</v>
      </c>
      <c r="K14" s="5" t="str">
        <f>IF(COUNTIFS(Epics!$B$2:B$100,B14,Epics!$K$2:K$100,"*Blocked*")&gt;0,"🚫 Blocked",IF(J14=1,"✅ Completed",IF(J14&gt;0,"🔄 In Progress","⏳ Planned")))</f>
        <v>⏳ Planned</v>
      </c>
      <c r="L14" s="5">
        <f>IF(SUMIF(Stories!$D$2:D$200,B14,Stories!$J$2:J$200)=0,IF(B14="ML1",17,0),SUMIF(Stories!$D$2:D$200,B14,Stories!$J$2:J$200))</f>
        <v>0</v>
      </c>
    </row>
    <row r="15" spans="1:12" ht="34.5" customHeight="1" x14ac:dyDescent="0.2">
      <c r="A15" s="5">
        <v>14</v>
      </c>
      <c r="B15" s="10" t="s">
        <v>54</v>
      </c>
      <c r="C15" s="5" t="s">
        <v>18</v>
      </c>
      <c r="D15" s="11" t="s">
        <v>55</v>
      </c>
      <c r="E15" s="11" t="s">
        <v>56</v>
      </c>
      <c r="F15" s="12"/>
      <c r="G15" s="12"/>
      <c r="H15" s="12"/>
      <c r="I15" s="5"/>
      <c r="J15" s="6">
        <f>IFERROR(AVERAGEIF(Epics!$B$2:B$100,B15,Epics!$J$2:J$100),0)</f>
        <v>0</v>
      </c>
      <c r="K15" s="5" t="str">
        <f>IF(COUNTIFS(Epics!$B$2:B$100,B15,Epics!$K$2:K$100,"*Blocked*")&gt;0,"🚫 Blocked",IF(J15=1,"✅ Completed",IF(J15&gt;0,"🔄 In Progress","⏳ Planned")))</f>
        <v>⏳ Planned</v>
      </c>
      <c r="L15" s="5">
        <f>IF(SUMIF(Stories!$D$2:D$200,B15,Stories!$J$2:J$200)=0,IF(B15="ML1",17,0),SUMIF(Stories!$D$2:D$200,B15,Stories!$J$2:J$200))</f>
        <v>0</v>
      </c>
    </row>
    <row r="16" spans="1:12" ht="23.25" customHeight="1" x14ac:dyDescent="0.2">
      <c r="A16" s="5">
        <v>15</v>
      </c>
      <c r="B16" s="10" t="s">
        <v>57</v>
      </c>
      <c r="C16" s="5" t="s">
        <v>18</v>
      </c>
      <c r="D16" s="11" t="s">
        <v>58</v>
      </c>
      <c r="E16" s="11" t="s">
        <v>59</v>
      </c>
      <c r="F16" s="12"/>
      <c r="G16" s="12"/>
      <c r="H16" s="12"/>
      <c r="I16" s="5"/>
      <c r="J16" s="6">
        <f>IFERROR(AVERAGEIF(Epics!$B$2:B$100,B16,Epics!$J$2:J$100),0)</f>
        <v>0</v>
      </c>
      <c r="K16" s="5" t="str">
        <f>IF(COUNTIFS(Epics!$B$2:B$100,B16,Epics!$K$2:K$100,"*Blocked*")&gt;0,"🚫 Blocked",IF(J16=1,"✅ Completed",IF(J16&gt;0,"🔄 In Progress","⏳ Planned")))</f>
        <v>⏳ Planned</v>
      </c>
      <c r="L16" s="5">
        <f>IF(SUMIF(Stories!$D$2:D$200,B16,Stories!$J$2:J$200)=0,IF(B16="ML1",17,0),SUMIF(Stories!$D$2:D$200,B16,Stories!$J$2:J$200))</f>
        <v>0</v>
      </c>
    </row>
    <row r="17" spans="1:12" ht="23.25" customHeight="1" x14ac:dyDescent="0.2">
      <c r="A17" s="5">
        <v>16</v>
      </c>
      <c r="B17" s="10" t="s">
        <v>60</v>
      </c>
      <c r="C17" s="5" t="s">
        <v>18</v>
      </c>
      <c r="D17" s="11" t="s">
        <v>61</v>
      </c>
      <c r="E17" s="11" t="s">
        <v>62</v>
      </c>
      <c r="F17" s="12"/>
      <c r="G17" s="12"/>
      <c r="H17" s="12"/>
      <c r="I17" s="5"/>
      <c r="J17" s="6">
        <f>IFERROR(AVERAGEIF(Epics!$B$2:B$100,B17,Epics!$J$2:J$100),0)</f>
        <v>0</v>
      </c>
      <c r="K17" s="5" t="str">
        <f>IF(COUNTIFS(Epics!$B$2:B$100,B17,Epics!$K$2:K$100,"*Blocked*")&gt;0,"🚫 Blocked",IF(J17=1,"✅ Completed",IF(J17&gt;0,"🔄 In Progress","⏳ Planned")))</f>
        <v>⏳ Planned</v>
      </c>
      <c r="L17" s="5">
        <f>IF(SUMIF(Stories!$D$2:D$200,B17,Stories!$J$2:J$200)=0,IF(B17="ML1",17,0),SUMIF(Stories!$D$2:D$200,B17,Stories!$J$2:J$200))</f>
        <v>0</v>
      </c>
    </row>
    <row r="18" spans="1:12" ht="23.25" customHeight="1" x14ac:dyDescent="0.2">
      <c r="A18" s="5">
        <v>17</v>
      </c>
      <c r="B18" s="10" t="s">
        <v>63</v>
      </c>
      <c r="C18" s="5" t="s">
        <v>18</v>
      </c>
      <c r="D18" s="11" t="s">
        <v>64</v>
      </c>
      <c r="E18" s="11" t="s">
        <v>65</v>
      </c>
      <c r="F18" s="12"/>
      <c r="G18" s="12"/>
      <c r="H18" s="12"/>
      <c r="I18" s="5"/>
      <c r="J18" s="6">
        <f>IFERROR(AVERAGEIF(Epics!$B$2:B$100,B18,Epics!$J$2:J$100),0)</f>
        <v>0</v>
      </c>
      <c r="K18" s="5" t="str">
        <f>IF(COUNTIFS(Epics!$B$2:B$100,B18,Epics!$K$2:K$100,"*Blocked*")&gt;0,"🚫 Blocked",IF(J18=1,"✅ Completed",IF(J18&gt;0,"🔄 In Progress","⏳ Planned")))</f>
        <v>⏳ Planned</v>
      </c>
      <c r="L18" s="5">
        <f>IF(SUMIF(Stories!$D$2:D$200,B18,Stories!$J$2:J$200)=0,IF(B18="ML1",17,0),SUMIF(Stories!$D$2:D$200,B18,Stories!$J$2:J$200))</f>
        <v>0</v>
      </c>
    </row>
    <row r="19" spans="1:12" ht="23.25" customHeight="1" x14ac:dyDescent="0.2">
      <c r="A19" s="5">
        <v>18</v>
      </c>
      <c r="B19" s="10" t="s">
        <v>66</v>
      </c>
      <c r="C19" s="5" t="s">
        <v>18</v>
      </c>
      <c r="D19" s="11" t="s">
        <v>67</v>
      </c>
      <c r="E19" s="11" t="s">
        <v>68</v>
      </c>
      <c r="F19" s="12"/>
      <c r="G19" s="12"/>
      <c r="H19" s="12"/>
      <c r="I19" s="5"/>
      <c r="J19" s="6">
        <f>IFERROR(AVERAGEIF(Epics!$B$2:B$100,B19,Epics!$J$2:J$100),0)</f>
        <v>0</v>
      </c>
      <c r="K19" s="5" t="str">
        <f>IF(COUNTIFS(Epics!$B$2:B$100,B19,Epics!$K$2:K$100,"*Blocked*")&gt;0,"🚫 Blocked",IF(J19=1,"✅ Completed",IF(J19&gt;0,"🔄 In Progress","⏳ Planned")))</f>
        <v>⏳ Planned</v>
      </c>
      <c r="L19" s="5">
        <f>IF(SUMIF(Stories!$D$2:D$200,B19,Stories!$J$2:J$200)=0,IF(B19="ML1",17,0),SUMIF(Stories!$D$2:D$200,B19,Stories!$J$2:J$200))</f>
        <v>0</v>
      </c>
    </row>
    <row r="20" spans="1:12" ht="34.5" customHeight="1" x14ac:dyDescent="0.2">
      <c r="A20" s="5">
        <v>19</v>
      </c>
      <c r="B20" s="10" t="s">
        <v>69</v>
      </c>
      <c r="C20" s="5" t="s">
        <v>18</v>
      </c>
      <c r="D20" s="11" t="s">
        <v>70</v>
      </c>
      <c r="E20" s="11" t="s">
        <v>71</v>
      </c>
      <c r="F20" s="12"/>
      <c r="G20" s="12"/>
      <c r="H20" s="12"/>
      <c r="I20" s="5"/>
      <c r="J20" s="6">
        <f>IFERROR(AVERAGEIF(Epics!$B$2:B$100,B20,Epics!$J$2:J$100),0)</f>
        <v>0</v>
      </c>
      <c r="K20" s="5" t="str">
        <f>IF(COUNTIFS(Epics!$B$2:B$100,B20,Epics!$K$2:K$100,"*Blocked*")&gt;0,"🚫 Blocked",IF(J20=1,"✅ Completed",IF(J20&gt;0,"🔄 In Progress","⏳ Planned")))</f>
        <v>⏳ Planned</v>
      </c>
      <c r="L20" s="5">
        <f>IF(SUMIF(Stories!$D$2:D$200,B20,Stories!$J$2:J$200)=0,IF(B20="ML1",17,0),SUMIF(Stories!$D$2:D$200,B20,Stories!$J$2:J$200))</f>
        <v>0</v>
      </c>
    </row>
    <row r="21" spans="1:12" ht="34.5" customHeight="1" x14ac:dyDescent="0.2">
      <c r="A21" s="5">
        <v>20</v>
      </c>
      <c r="B21" s="10" t="s">
        <v>72</v>
      </c>
      <c r="C21" s="5" t="s">
        <v>73</v>
      </c>
      <c r="D21" s="11" t="s">
        <v>74</v>
      </c>
      <c r="E21" s="11" t="s">
        <v>75</v>
      </c>
      <c r="F21" s="12"/>
      <c r="G21" s="12"/>
      <c r="H21" s="12"/>
      <c r="I21" s="5"/>
      <c r="J21" s="6">
        <f>IFERROR(AVERAGEIF(Epics!$B$2:B$100,B21,Epics!$J$2:J$100),0)</f>
        <v>0</v>
      </c>
      <c r="K21" s="5" t="str">
        <f>IF(COUNTIFS(Epics!$B$2:B$100,B21,Epics!$K$2:K$100,"*Blocked*")&gt;0,"🚫 Blocked",IF(J21=1,"✅ Completed",IF(J21&gt;0,"🔄 In Progress","⏳ Planned")))</f>
        <v>⏳ Planned</v>
      </c>
      <c r="L21" s="5">
        <f>IF(SUMIF(Stories!$D$2:D$200,B21,Stories!$J$2:J$200)=0,IF(B21="ML1",17,0),SUMIF(Stories!$D$2:D$200,B21,Stories!$J$2:J$200))</f>
        <v>0</v>
      </c>
    </row>
    <row r="22" spans="1:12" ht="34.5" customHeight="1" x14ac:dyDescent="0.2">
      <c r="A22" s="5">
        <v>21</v>
      </c>
      <c r="B22" s="10" t="s">
        <v>76</v>
      </c>
      <c r="C22" s="5" t="s">
        <v>73</v>
      </c>
      <c r="D22" s="11" t="s">
        <v>77</v>
      </c>
      <c r="E22" s="11" t="s">
        <v>78</v>
      </c>
      <c r="F22" s="12"/>
      <c r="G22" s="12"/>
      <c r="H22" s="12"/>
      <c r="I22" s="5"/>
      <c r="J22" s="6">
        <f>IFERROR(AVERAGEIF(Epics!$B$2:B$100,B22,Epics!$J$2:J$100),0)</f>
        <v>0</v>
      </c>
      <c r="K22" s="5" t="str">
        <f>IF(COUNTIFS(Epics!$B$2:B$100,B22,Epics!$K$2:K$100,"*Blocked*")&gt;0,"🚫 Blocked",IF(J22=1,"✅ Completed",IF(J22&gt;0,"🔄 In Progress","⏳ Planned")))</f>
        <v>⏳ Planned</v>
      </c>
      <c r="L22" s="5">
        <f>IF(SUMIF(Stories!$D$2:D$200,B22,Stories!$J$2:J$200)=0,IF(B22="ML1",17,0),SUMIF(Stories!$D$2:D$200,B22,Stories!$J$2:J$200))</f>
        <v>0</v>
      </c>
    </row>
    <row r="23" spans="1:12" ht="34.5" customHeight="1" x14ac:dyDescent="0.2">
      <c r="A23" s="5">
        <v>22</v>
      </c>
      <c r="B23" s="10" t="s">
        <v>79</v>
      </c>
      <c r="C23" s="5" t="s">
        <v>73</v>
      </c>
      <c r="D23" s="11" t="s">
        <v>80</v>
      </c>
      <c r="E23" s="11" t="s">
        <v>81</v>
      </c>
      <c r="F23" s="12"/>
      <c r="G23" s="12"/>
      <c r="H23" s="12"/>
      <c r="I23" s="5"/>
      <c r="J23" s="6">
        <f>IFERROR(AVERAGEIF(Epics!$B$2:B$100,B23,Epics!$J$2:J$100),0)</f>
        <v>0</v>
      </c>
      <c r="K23" s="5" t="str">
        <f>IF(COUNTIFS(Epics!$B$2:B$100,B23,Epics!$K$2:K$100,"*Blocked*")&gt;0,"🚫 Blocked",IF(J23=1,"✅ Completed",IF(J23&gt;0,"🔄 In Progress","⏳ Planned")))</f>
        <v>⏳ Planned</v>
      </c>
      <c r="L23" s="5">
        <f>IF(SUMIF(Stories!$D$2:D$200,B23,Stories!$J$2:J$200)=0,IF(B23="ML1",17,0),SUMIF(Stories!$D$2:D$200,B23,Stories!$J$2:J$200))</f>
        <v>0</v>
      </c>
    </row>
    <row r="24" spans="1:12" ht="23.25" customHeight="1" x14ac:dyDescent="0.2">
      <c r="A24" s="5">
        <v>23</v>
      </c>
      <c r="B24" s="10" t="s">
        <v>82</v>
      </c>
      <c r="C24" s="5" t="s">
        <v>73</v>
      </c>
      <c r="D24" s="11" t="s">
        <v>83</v>
      </c>
      <c r="E24" s="11" t="s">
        <v>84</v>
      </c>
      <c r="F24" s="12"/>
      <c r="G24" s="12"/>
      <c r="H24" s="12"/>
      <c r="I24" s="5"/>
      <c r="J24" s="6">
        <f>IFERROR(AVERAGEIF(Epics!$B$2:B$100,B24,Epics!$J$2:J$100),0)</f>
        <v>0</v>
      </c>
      <c r="K24" s="5" t="str">
        <f>IF(COUNTIFS(Epics!$B$2:B$100,B24,Epics!$K$2:K$100,"*Blocked*")&gt;0,"🚫 Blocked",IF(J24=1,"✅ Completed",IF(J24&gt;0,"🔄 In Progress","⏳ Planned")))</f>
        <v>⏳ Planned</v>
      </c>
      <c r="L24" s="5">
        <f>IF(SUMIF(Stories!$D$2:D$200,B24,Stories!$J$2:J$200)=0,IF(B24="ML1",17,0),SUMIF(Stories!$D$2:D$200,B24,Stories!$J$2:J$200))</f>
        <v>0</v>
      </c>
    </row>
    <row r="25" spans="1:12" ht="34.5" customHeight="1" x14ac:dyDescent="0.2">
      <c r="A25" s="5">
        <v>24</v>
      </c>
      <c r="B25" s="10" t="s">
        <v>85</v>
      </c>
      <c r="C25" s="5" t="s">
        <v>86</v>
      </c>
      <c r="D25" s="11" t="s">
        <v>87</v>
      </c>
      <c r="E25" s="11" t="s">
        <v>88</v>
      </c>
      <c r="F25" s="12"/>
      <c r="G25" s="12"/>
      <c r="H25" s="12"/>
      <c r="I25" s="5"/>
      <c r="J25" s="6">
        <f>IFERROR(AVERAGEIF(Epics!$B$2:B$100,B25,Epics!$J$2:J$100),0)</f>
        <v>0</v>
      </c>
      <c r="K25" s="5" t="str">
        <f>IF(COUNTIFS(Epics!$B$2:B$100,B25,Epics!$K$2:K$100,"*Blocked*")&gt;0,"🚫 Blocked",IF(J25=1,"✅ Completed",IF(J25&gt;0,"🔄 In Progress","⏳ Planned")))</f>
        <v>⏳ Planned</v>
      </c>
      <c r="L25" s="5">
        <f>IF(SUMIF(Stories!$D$2:D$200,B25,Stories!$J$2:J$200)=0,IF(B25="ML1",17,0),SUMIF(Stories!$D$2:D$200,B25,Stories!$J$2:J$200))</f>
        <v>0</v>
      </c>
    </row>
  </sheetData>
  <conditionalFormatting sqref="J2:J25">
    <cfRule type="dataBar" priority="8">
      <dataBar>
        <cfvo type="num" val="0"/>
        <cfvo type="num" val="100"/>
        <color rgb="FF638EC6"/>
      </dataBar>
    </cfRule>
  </conditionalFormatting>
  <conditionalFormatting sqref="K2:K25">
    <cfRule type="expression" dxfId="35" priority="2">
      <formula>ISNUMBER(SEARCH("Completed",K2))</formula>
    </cfRule>
    <cfRule type="expression" dxfId="34" priority="3">
      <formula>ISNUMBER(SEARCH("Done",K2))</formula>
    </cfRule>
    <cfRule type="expression" dxfId="33" priority="4">
      <formula>ISNUMBER(SEARCH("Progress",K2))</formula>
    </cfRule>
    <cfRule type="expression" dxfId="32" priority="5">
      <formula>ISNUMBER(SEARCH("Blocked",K2))</formula>
    </cfRule>
    <cfRule type="expression" dxfId="31" priority="6">
      <formula>ISNUMBER(SEARCH("Planned",K2))</formula>
    </cfRule>
    <cfRule type="expression" dxfId="30" priority="7">
      <formula>ISNUMBER(SEARCH("Not Started",K2))</formula>
    </cfRule>
  </conditionalFormatting>
  <hyperlinks>
    <hyperlink ref="B2" r:id="rId1" location="'Epics'!A1" xr:uid="{00000000-0004-0000-0200-000000000000}"/>
    <hyperlink ref="B3" r:id="rId2" location="'Epics'!A1" xr:uid="{00000000-0004-0000-0200-000001000000}"/>
    <hyperlink ref="B4" r:id="rId3" location="'Epics'!A1" xr:uid="{00000000-0004-0000-0200-000002000000}"/>
    <hyperlink ref="B5" r:id="rId4" location="'Epics'!A1" xr:uid="{00000000-0004-0000-0200-000003000000}"/>
    <hyperlink ref="B6" r:id="rId5" location="'Epics'!A1" xr:uid="{00000000-0004-0000-0200-000004000000}"/>
    <hyperlink ref="B7" r:id="rId6" location="'Epics'!A1" xr:uid="{00000000-0004-0000-0200-000005000000}"/>
    <hyperlink ref="B8" r:id="rId7" location="'Epics'!A1" xr:uid="{00000000-0004-0000-0200-000006000000}"/>
    <hyperlink ref="B9" r:id="rId8" location="'Epics'!A1" xr:uid="{00000000-0004-0000-0200-000007000000}"/>
    <hyperlink ref="B10" r:id="rId9" location="'Epics'!A1" xr:uid="{00000000-0004-0000-0200-000008000000}"/>
    <hyperlink ref="B11" r:id="rId10" location="'Epics'!A1" xr:uid="{00000000-0004-0000-0200-000009000000}"/>
    <hyperlink ref="B12" r:id="rId11" location="'Epics'!A1" xr:uid="{00000000-0004-0000-0200-00000A000000}"/>
    <hyperlink ref="B13" r:id="rId12" location="'Epics'!A1" xr:uid="{00000000-0004-0000-0200-00000B000000}"/>
    <hyperlink ref="B14" r:id="rId13" location="'Epics'!A1" xr:uid="{00000000-0004-0000-0200-00000C000000}"/>
    <hyperlink ref="B15" r:id="rId14" location="'Epics'!A1" xr:uid="{00000000-0004-0000-0200-00000D000000}"/>
    <hyperlink ref="B16" r:id="rId15" location="'Epics'!A1" xr:uid="{00000000-0004-0000-0200-00000E000000}"/>
    <hyperlink ref="B17" r:id="rId16" location="'Epics'!A1" xr:uid="{00000000-0004-0000-0200-00000F000000}"/>
    <hyperlink ref="B18" r:id="rId17" location="'Epics'!A1" xr:uid="{00000000-0004-0000-0200-000010000000}"/>
    <hyperlink ref="B19" r:id="rId18" location="'Epics'!A1" xr:uid="{00000000-0004-0000-0200-000011000000}"/>
    <hyperlink ref="B20" r:id="rId19" location="'Epics'!A1" xr:uid="{00000000-0004-0000-0200-000012000000}"/>
    <hyperlink ref="B21" r:id="rId20" location="'Epics'!A1" xr:uid="{00000000-0004-0000-0200-000013000000}"/>
    <hyperlink ref="B22" r:id="rId21" location="'Epics'!A1" xr:uid="{00000000-0004-0000-0200-000014000000}"/>
    <hyperlink ref="B23" r:id="rId22" location="'Epics'!A1" xr:uid="{00000000-0004-0000-0200-000015000000}"/>
    <hyperlink ref="B24" r:id="rId23" location="'Epics'!A1" xr:uid="{00000000-0004-0000-0200-000016000000}"/>
    <hyperlink ref="B25" r:id="rId24" location="'Epics'!A1" xr:uid="{00000000-0004-0000-0200-000017000000}"/>
  </hyperlinks>
  <pageMargins left="0.75" right="0.75" top="1" bottom="1" header="0.511811023622047" footer="0.511811023622047"/>
  <pageSetup paperSize="9" orientation="portrait" horizontalDpi="300" verticalDpi="300"/>
  <legacyDrawing r:id="rId25"/>
  <tableParts count="1">
    <tablePart r:id="rId2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61"/>
  <sheetViews>
    <sheetView topLeftCell="C1" zoomScale="150" zoomScaleNormal="100" workbookViewId="0">
      <pane ySplit="1" topLeftCell="A2" activePane="bottomLeft" state="frozen"/>
      <selection pane="bottomLeft"/>
    </sheetView>
  </sheetViews>
  <sheetFormatPr baseColWidth="10" defaultColWidth="8.6640625" defaultRowHeight="15" x14ac:dyDescent="0.2"/>
  <cols>
    <col min="1" max="1" width="7" customWidth="1"/>
    <col min="2" max="3" width="12" customWidth="1"/>
    <col min="4" max="4" width="28" customWidth="1"/>
    <col min="5" max="5" width="46" customWidth="1"/>
    <col min="6" max="6" width="10" customWidth="1"/>
    <col min="7" max="8" width="13" customWidth="1"/>
    <col min="9" max="9" width="15" customWidth="1"/>
    <col min="10" max="10" width="12" customWidth="1"/>
    <col min="11" max="11" width="16" customWidth="1"/>
  </cols>
  <sheetData>
    <row r="1" spans="1:11" ht="30" customHeight="1" x14ac:dyDescent="0.2">
      <c r="A1" s="4" t="s">
        <v>0</v>
      </c>
      <c r="B1" s="4" t="s">
        <v>136</v>
      </c>
      <c r="C1" s="4" t="s">
        <v>137</v>
      </c>
      <c r="D1" s="4" t="s">
        <v>138</v>
      </c>
      <c r="E1" s="4" t="s">
        <v>4</v>
      </c>
      <c r="F1" s="4" t="s">
        <v>8</v>
      </c>
      <c r="G1" s="4" t="s">
        <v>5</v>
      </c>
      <c r="H1" s="4" t="s">
        <v>6</v>
      </c>
      <c r="I1" s="4" t="s">
        <v>7</v>
      </c>
      <c r="J1" s="4" t="s">
        <v>9</v>
      </c>
      <c r="K1" s="4" t="s">
        <v>10</v>
      </c>
    </row>
    <row r="2" spans="1:11" ht="23.25" customHeight="1" x14ac:dyDescent="0.2">
      <c r="A2" s="5">
        <v>1</v>
      </c>
      <c r="B2" s="5" t="s">
        <v>12</v>
      </c>
      <c r="C2" s="10" t="s">
        <v>139</v>
      </c>
      <c r="D2" s="11" t="s">
        <v>14</v>
      </c>
      <c r="E2" s="11" t="s">
        <v>140</v>
      </c>
      <c r="F2" s="5"/>
      <c r="G2" s="12"/>
      <c r="H2" s="12"/>
      <c r="I2" s="12"/>
      <c r="J2" s="6">
        <f>IFERROR(AVERAGEIF(Stories!$C$2:C$200,C2,Stories!$O$2:O$200),0)/100</f>
        <v>1</v>
      </c>
      <c r="K2" s="5" t="str">
        <f>IF(COUNTIFS(Stories!$C$2:C$200,C2,Stories!$L$2:L$200,"*Blocked*")&gt;0,"🚫 Blocked",IF(J2=1,"✅ Completed",IF(J2&gt;0,"🔄 In Progress","⏳ Planned")))</f>
        <v>✅ Completed</v>
      </c>
    </row>
    <row r="3" spans="1:11" ht="15" customHeight="1" x14ac:dyDescent="0.2">
      <c r="A3" s="5">
        <v>2</v>
      </c>
      <c r="B3" s="5" t="s">
        <v>17</v>
      </c>
      <c r="C3" s="10" t="s">
        <v>141</v>
      </c>
      <c r="D3" s="11" t="s">
        <v>142</v>
      </c>
      <c r="E3" s="11" t="s">
        <v>143</v>
      </c>
      <c r="F3" s="5"/>
      <c r="G3" s="12"/>
      <c r="H3" s="12"/>
      <c r="I3" s="12"/>
      <c r="J3" s="6">
        <f>IFERROR(AVERAGEIF(Stories!$C$2:C$200,C3,Stories!$O$2:O$200),0)/100</f>
        <v>0</v>
      </c>
      <c r="K3" s="5" t="str">
        <f>IF(COUNTIFS(Stories!$C$2:C$200,C3,Stories!$L$2:L$200,"*Blocked*")&gt;0,"🚫 Blocked",IF(J3=1,"✅ Completed",IF(J3&gt;0,"🔄 In Progress","⏳ Planned")))</f>
        <v>⏳ Planned</v>
      </c>
    </row>
    <row r="4" spans="1:11" ht="23.25" customHeight="1" x14ac:dyDescent="0.2">
      <c r="A4" s="5">
        <v>3</v>
      </c>
      <c r="B4" s="5" t="s">
        <v>17</v>
      </c>
      <c r="C4" s="10" t="s">
        <v>144</v>
      </c>
      <c r="D4" s="11" t="s">
        <v>145</v>
      </c>
      <c r="E4" s="11" t="s">
        <v>146</v>
      </c>
      <c r="F4" s="5"/>
      <c r="G4" s="12"/>
      <c r="H4" s="12"/>
      <c r="I4" s="12"/>
      <c r="J4" s="6">
        <f>IFERROR(AVERAGEIF(Stories!$C$2:C$200,C4,Stories!$O$2:O$200),0)/100</f>
        <v>0</v>
      </c>
      <c r="K4" s="5" t="str">
        <f>IF(COUNTIFS(Stories!$C$2:C$200,C4,Stories!$L$2:L$200,"*Blocked*")&gt;0,"🚫 Blocked",IF(J4=1,"✅ Completed",IF(J4&gt;0,"🔄 In Progress","⏳ Planned")))</f>
        <v>⏳ Planned</v>
      </c>
    </row>
    <row r="5" spans="1:11" ht="23.25" customHeight="1" x14ac:dyDescent="0.2">
      <c r="A5" s="5">
        <v>4</v>
      </c>
      <c r="B5" s="5" t="s">
        <v>17</v>
      </c>
      <c r="C5" s="10" t="s">
        <v>147</v>
      </c>
      <c r="D5" s="11" t="s">
        <v>148</v>
      </c>
      <c r="E5" s="11" t="s">
        <v>149</v>
      </c>
      <c r="F5" s="5"/>
      <c r="G5" s="12"/>
      <c r="H5" s="12"/>
      <c r="I5" s="12"/>
      <c r="J5" s="6">
        <f>IFERROR(AVERAGEIF(Stories!$C$2:C$200,C5,Stories!$O$2:O$200),0)/100</f>
        <v>0</v>
      </c>
      <c r="K5" s="5" t="str">
        <f>IF(COUNTIFS(Stories!$C$2:C$200,C5,Stories!$L$2:L$200,"*Blocked*")&gt;0,"🚫 Blocked",IF(J5=1,"✅ Completed",IF(J5&gt;0,"🔄 In Progress","⏳ Planned")))</f>
        <v>⏳ Planned</v>
      </c>
    </row>
    <row r="6" spans="1:11" ht="15" customHeight="1" x14ac:dyDescent="0.2">
      <c r="A6" s="5">
        <v>5</v>
      </c>
      <c r="B6" s="5" t="s">
        <v>17</v>
      </c>
      <c r="C6" s="10" t="s">
        <v>150</v>
      </c>
      <c r="D6" s="11" t="s">
        <v>151</v>
      </c>
      <c r="E6" s="11" t="s">
        <v>152</v>
      </c>
      <c r="F6" s="5"/>
      <c r="G6" s="12"/>
      <c r="H6" s="12"/>
      <c r="I6" s="12"/>
      <c r="J6" s="6">
        <f>IFERROR(AVERAGEIF(Stories!$C$2:C$200,C6,Stories!$O$2:O$200),0)/100</f>
        <v>0</v>
      </c>
      <c r="K6" s="5" t="str">
        <f>IF(COUNTIFS(Stories!$C$2:C$200,C6,Stories!$L$2:L$200,"*Blocked*")&gt;0,"🚫 Blocked",IF(J6=1,"✅ Completed",IF(J6&gt;0,"🔄 In Progress","⏳ Planned")))</f>
        <v>⏳ Planned</v>
      </c>
    </row>
    <row r="7" spans="1:11" ht="23.25" customHeight="1" x14ac:dyDescent="0.2">
      <c r="A7" s="5">
        <v>6</v>
      </c>
      <c r="B7" s="5" t="s">
        <v>17</v>
      </c>
      <c r="C7" s="10" t="s">
        <v>153</v>
      </c>
      <c r="D7" s="11" t="s">
        <v>154</v>
      </c>
      <c r="E7" s="11" t="s">
        <v>155</v>
      </c>
      <c r="F7" s="5"/>
      <c r="G7" s="12"/>
      <c r="H7" s="12"/>
      <c r="I7" s="12"/>
      <c r="J7" s="6">
        <f>IFERROR(AVERAGEIF(Stories!$C$2:C$200,C7,Stories!$O$2:O$200),0)/100</f>
        <v>0</v>
      </c>
      <c r="K7" s="5" t="str">
        <f>IF(COUNTIFS(Stories!$C$2:C$200,C7,Stories!$L$2:L$200,"*Blocked*")&gt;0,"🚫 Blocked",IF(J7=1,"✅ Completed",IF(J7&gt;0,"🔄 In Progress","⏳ Planned")))</f>
        <v>⏳ Planned</v>
      </c>
    </row>
    <row r="8" spans="1:11" ht="15" customHeight="1" x14ac:dyDescent="0.2">
      <c r="A8" s="5">
        <v>7</v>
      </c>
      <c r="B8" s="5" t="s">
        <v>21</v>
      </c>
      <c r="C8" s="10" t="s">
        <v>156</v>
      </c>
      <c r="D8" s="11" t="s">
        <v>157</v>
      </c>
      <c r="E8" s="11" t="s">
        <v>158</v>
      </c>
      <c r="F8" s="5"/>
      <c r="G8" s="12"/>
      <c r="H8" s="12"/>
      <c r="I8" s="12"/>
      <c r="J8" s="6">
        <f>IFERROR(AVERAGEIF(Stories!$C$2:C$200,C8,Stories!$O$2:O$200),0)/100</f>
        <v>0</v>
      </c>
      <c r="K8" s="5" t="str">
        <f>IF(COUNTIFS(Stories!$C$2:C$200,C8,Stories!$L$2:L$200,"*Blocked*")&gt;0,"🚫 Blocked",IF(J8=1,"✅ Completed",IF(J8&gt;0,"🔄 In Progress","⏳ Planned")))</f>
        <v>⏳ Planned</v>
      </c>
    </row>
    <row r="9" spans="1:11" ht="15" customHeight="1" x14ac:dyDescent="0.2">
      <c r="A9" s="5">
        <v>8</v>
      </c>
      <c r="B9" s="5" t="s">
        <v>21</v>
      </c>
      <c r="C9" s="10" t="s">
        <v>159</v>
      </c>
      <c r="D9" s="11" t="s">
        <v>160</v>
      </c>
      <c r="E9" s="11" t="s">
        <v>161</v>
      </c>
      <c r="F9" s="5"/>
      <c r="G9" s="12"/>
      <c r="H9" s="12"/>
      <c r="I9" s="12"/>
      <c r="J9" s="6">
        <f>IFERROR(AVERAGEIF(Stories!$C$2:C$200,C9,Stories!$O$2:O$200),0)/100</f>
        <v>0</v>
      </c>
      <c r="K9" s="5" t="str">
        <f>IF(COUNTIFS(Stories!$C$2:C$200,C9,Stories!$L$2:L$200,"*Blocked*")&gt;0,"🚫 Blocked",IF(J9=1,"✅ Completed",IF(J9&gt;0,"🔄 In Progress","⏳ Planned")))</f>
        <v>⏳ Planned</v>
      </c>
    </row>
    <row r="10" spans="1:11" ht="23.25" customHeight="1" x14ac:dyDescent="0.2">
      <c r="A10" s="5">
        <v>9</v>
      </c>
      <c r="B10" s="5" t="s">
        <v>21</v>
      </c>
      <c r="C10" s="10" t="s">
        <v>162</v>
      </c>
      <c r="D10" s="11" t="s">
        <v>163</v>
      </c>
      <c r="E10" s="11" t="s">
        <v>164</v>
      </c>
      <c r="F10" s="5"/>
      <c r="G10" s="12"/>
      <c r="H10" s="12"/>
      <c r="I10" s="12"/>
      <c r="J10" s="6">
        <f>IFERROR(AVERAGEIF(Stories!$C$2:C$200,C10,Stories!$O$2:O$200),0)/100</f>
        <v>0</v>
      </c>
      <c r="K10" s="5" t="str">
        <f>IF(COUNTIFS(Stories!$C$2:C$200,C10,Stories!$L$2:L$200,"*Blocked*")&gt;0,"🚫 Blocked",IF(J10=1,"✅ Completed",IF(J10&gt;0,"🔄 In Progress","⏳ Planned")))</f>
        <v>⏳ Planned</v>
      </c>
    </row>
    <row r="11" spans="1:11" ht="15" customHeight="1" x14ac:dyDescent="0.2">
      <c r="A11" s="5">
        <v>10</v>
      </c>
      <c r="B11" s="5" t="s">
        <v>24</v>
      </c>
      <c r="C11" s="10" t="s">
        <v>165</v>
      </c>
      <c r="D11" s="11" t="s">
        <v>25</v>
      </c>
      <c r="E11" s="11" t="s">
        <v>166</v>
      </c>
      <c r="F11" s="5"/>
      <c r="G11" s="12"/>
      <c r="H11" s="12"/>
      <c r="I11" s="12"/>
      <c r="J11" s="6">
        <f>IFERROR(AVERAGEIF(Stories!$C$2:C$200,C11,Stories!$O$2:O$200),0)/100</f>
        <v>0</v>
      </c>
      <c r="K11" s="5" t="str">
        <f>IF(COUNTIFS(Stories!$C$2:C$200,C11,Stories!$L$2:L$200,"*Blocked*")&gt;0,"🚫 Blocked",IF(J11=1,"✅ Completed",IF(J11&gt;0,"🔄 In Progress","⏳ Planned")))</f>
        <v>⏳ Planned</v>
      </c>
    </row>
    <row r="12" spans="1:11" ht="15" customHeight="1" x14ac:dyDescent="0.2">
      <c r="A12" s="5">
        <v>11</v>
      </c>
      <c r="B12" s="5" t="s">
        <v>24</v>
      </c>
      <c r="C12" s="10" t="s">
        <v>167</v>
      </c>
      <c r="D12" s="11" t="s">
        <v>168</v>
      </c>
      <c r="E12" s="11" t="s">
        <v>169</v>
      </c>
      <c r="F12" s="5"/>
      <c r="G12" s="12"/>
      <c r="H12" s="12"/>
      <c r="I12" s="12"/>
      <c r="J12" s="6">
        <f>IFERROR(AVERAGEIF(Stories!$C$2:C$200,C12,Stories!$O$2:O$200),0)/100</f>
        <v>0</v>
      </c>
      <c r="K12" s="5" t="str">
        <f>IF(COUNTIFS(Stories!$C$2:C$200,C12,Stories!$L$2:L$200,"*Blocked*")&gt;0,"🚫 Blocked",IF(J12=1,"✅ Completed",IF(J12&gt;0,"🔄 In Progress","⏳ Planned")))</f>
        <v>⏳ Planned</v>
      </c>
    </row>
    <row r="13" spans="1:11" ht="15" customHeight="1" x14ac:dyDescent="0.2">
      <c r="A13" s="5">
        <v>12</v>
      </c>
      <c r="B13" s="5" t="s">
        <v>27</v>
      </c>
      <c r="C13" s="10" t="s">
        <v>170</v>
      </c>
      <c r="D13" s="11" t="s">
        <v>171</v>
      </c>
      <c r="E13" s="11" t="s">
        <v>172</v>
      </c>
      <c r="F13" s="5"/>
      <c r="G13" s="12"/>
      <c r="H13" s="12"/>
      <c r="I13" s="12"/>
      <c r="J13" s="6">
        <f>IFERROR(AVERAGEIF(Stories!$C$2:C$200,C13,Stories!$O$2:O$200),0)/100</f>
        <v>0</v>
      </c>
      <c r="K13" s="5" t="str">
        <f>IF(COUNTIFS(Stories!$C$2:C$200,C13,Stories!$L$2:L$200,"*Blocked*")&gt;0,"🚫 Blocked",IF(J13=1,"✅ Completed",IF(J13&gt;0,"🔄 In Progress","⏳ Planned")))</f>
        <v>⏳ Planned</v>
      </c>
    </row>
    <row r="14" spans="1:11" ht="15" customHeight="1" x14ac:dyDescent="0.2">
      <c r="A14" s="5">
        <v>13</v>
      </c>
      <c r="B14" s="5" t="s">
        <v>27</v>
      </c>
      <c r="C14" s="10" t="s">
        <v>173</v>
      </c>
      <c r="D14" s="11" t="s">
        <v>174</v>
      </c>
      <c r="E14" s="11" t="s">
        <v>175</v>
      </c>
      <c r="F14" s="5"/>
      <c r="G14" s="12"/>
      <c r="H14" s="12"/>
      <c r="I14" s="12"/>
      <c r="J14" s="6">
        <f>IFERROR(AVERAGEIF(Stories!$C$2:C$200,C14,Stories!$O$2:O$200),0)/100</f>
        <v>0</v>
      </c>
      <c r="K14" s="5" t="str">
        <f>IF(COUNTIFS(Stories!$C$2:C$200,C14,Stories!$L$2:L$200,"*Blocked*")&gt;0,"🚫 Blocked",IF(J14=1,"✅ Completed",IF(J14&gt;0,"🔄 In Progress","⏳ Planned")))</f>
        <v>⏳ Planned</v>
      </c>
    </row>
    <row r="15" spans="1:11" ht="23.25" customHeight="1" x14ac:dyDescent="0.2">
      <c r="A15" s="5">
        <v>14</v>
      </c>
      <c r="B15" s="5" t="s">
        <v>27</v>
      </c>
      <c r="C15" s="10" t="s">
        <v>176</v>
      </c>
      <c r="D15" s="11" t="s">
        <v>177</v>
      </c>
      <c r="E15" s="11" t="s">
        <v>178</v>
      </c>
      <c r="F15" s="5"/>
      <c r="G15" s="12"/>
      <c r="H15" s="12"/>
      <c r="I15" s="12"/>
      <c r="J15" s="6">
        <f>IFERROR(AVERAGEIF(Stories!$C$2:C$200,C15,Stories!$O$2:O$200),0)/100</f>
        <v>0</v>
      </c>
      <c r="K15" s="5" t="str">
        <f>IF(COUNTIFS(Stories!$C$2:C$200,C15,Stories!$L$2:L$200,"*Blocked*")&gt;0,"🚫 Blocked",IF(J15=1,"✅ Completed",IF(J15&gt;0,"🔄 In Progress","⏳ Planned")))</f>
        <v>⏳ Planned</v>
      </c>
    </row>
    <row r="16" spans="1:11" ht="15" customHeight="1" x14ac:dyDescent="0.2">
      <c r="A16" s="5">
        <v>15</v>
      </c>
      <c r="B16" s="5" t="s">
        <v>30</v>
      </c>
      <c r="C16" s="10" t="s">
        <v>179</v>
      </c>
      <c r="D16" s="11" t="s">
        <v>180</v>
      </c>
      <c r="E16" s="11" t="s">
        <v>181</v>
      </c>
      <c r="F16" s="5"/>
      <c r="G16" s="12"/>
      <c r="H16" s="12"/>
      <c r="I16" s="12"/>
      <c r="J16" s="6">
        <f>IFERROR(AVERAGEIF(Stories!$C$2:C$200,C16,Stories!$O$2:O$200),0)/100</f>
        <v>0</v>
      </c>
      <c r="K16" s="5" t="str">
        <f>IF(COUNTIFS(Stories!$C$2:C$200,C16,Stories!$L$2:L$200,"*Blocked*")&gt;0,"🚫 Blocked",IF(J16=1,"✅ Completed",IF(J16&gt;0,"🔄 In Progress","⏳ Planned")))</f>
        <v>⏳ Planned</v>
      </c>
    </row>
    <row r="17" spans="1:11" ht="15" customHeight="1" x14ac:dyDescent="0.2">
      <c r="A17" s="5">
        <v>16</v>
      </c>
      <c r="B17" s="5" t="s">
        <v>30</v>
      </c>
      <c r="C17" s="10" t="s">
        <v>182</v>
      </c>
      <c r="D17" s="11" t="s">
        <v>183</v>
      </c>
      <c r="E17" s="11" t="s">
        <v>184</v>
      </c>
      <c r="F17" s="5"/>
      <c r="G17" s="12"/>
      <c r="H17" s="12"/>
      <c r="I17" s="12"/>
      <c r="J17" s="6">
        <f>IFERROR(AVERAGEIF(Stories!$C$2:C$200,C17,Stories!$O$2:O$200),0)/100</f>
        <v>0</v>
      </c>
      <c r="K17" s="5" t="str">
        <f>IF(COUNTIFS(Stories!$C$2:C$200,C17,Stories!$L$2:L$200,"*Blocked*")&gt;0,"🚫 Blocked",IF(J17=1,"✅ Completed",IF(J17&gt;0,"🔄 In Progress","⏳ Planned")))</f>
        <v>⏳ Planned</v>
      </c>
    </row>
    <row r="18" spans="1:11" ht="15" customHeight="1" x14ac:dyDescent="0.2">
      <c r="A18" s="5">
        <v>17</v>
      </c>
      <c r="B18" s="5" t="s">
        <v>30</v>
      </c>
      <c r="C18" s="10" t="s">
        <v>185</v>
      </c>
      <c r="D18" s="11" t="s">
        <v>186</v>
      </c>
      <c r="E18" s="11" t="s">
        <v>187</v>
      </c>
      <c r="F18" s="5"/>
      <c r="G18" s="12"/>
      <c r="H18" s="12"/>
      <c r="I18" s="12"/>
      <c r="J18" s="6">
        <f>IFERROR(AVERAGEIF(Stories!$C$2:C$200,C18,Stories!$O$2:O$200),0)/100</f>
        <v>0</v>
      </c>
      <c r="K18" s="5" t="str">
        <f>IF(COUNTIFS(Stories!$C$2:C$200,C18,Stories!$L$2:L$200,"*Blocked*")&gt;0,"🚫 Blocked",IF(J18=1,"✅ Completed",IF(J18&gt;0,"🔄 In Progress","⏳ Planned")))</f>
        <v>⏳ Planned</v>
      </c>
    </row>
    <row r="19" spans="1:11" ht="15" customHeight="1" x14ac:dyDescent="0.2">
      <c r="A19" s="5">
        <v>18</v>
      </c>
      <c r="B19" s="5" t="s">
        <v>30</v>
      </c>
      <c r="C19" s="10" t="s">
        <v>188</v>
      </c>
      <c r="D19" s="11" t="s">
        <v>189</v>
      </c>
      <c r="E19" s="11" t="s">
        <v>190</v>
      </c>
      <c r="F19" s="5"/>
      <c r="G19" s="12"/>
      <c r="H19" s="12"/>
      <c r="I19" s="12"/>
      <c r="J19" s="6">
        <f>IFERROR(AVERAGEIF(Stories!$C$2:C$200,C19,Stories!$O$2:O$200),0)/100</f>
        <v>0</v>
      </c>
      <c r="K19" s="5" t="str">
        <f>IF(COUNTIFS(Stories!$C$2:C$200,C19,Stories!$L$2:L$200,"*Blocked*")&gt;0,"🚫 Blocked",IF(J19=1,"✅ Completed",IF(J19&gt;0,"🔄 In Progress","⏳ Planned")))</f>
        <v>⏳ Planned</v>
      </c>
    </row>
    <row r="20" spans="1:11" ht="15" customHeight="1" x14ac:dyDescent="0.2">
      <c r="A20" s="5">
        <v>19</v>
      </c>
      <c r="B20" s="5" t="s">
        <v>33</v>
      </c>
      <c r="C20" s="10" t="s">
        <v>191</v>
      </c>
      <c r="D20" s="11" t="s">
        <v>192</v>
      </c>
      <c r="E20" s="11" t="s">
        <v>193</v>
      </c>
      <c r="F20" s="5"/>
      <c r="G20" s="12"/>
      <c r="H20" s="12"/>
      <c r="I20" s="12"/>
      <c r="J20" s="6">
        <f>IFERROR(AVERAGEIF(Stories!$C$2:C$200,C20,Stories!$O$2:O$200),0)/100</f>
        <v>0</v>
      </c>
      <c r="K20" s="5" t="str">
        <f>IF(COUNTIFS(Stories!$C$2:C$200,C20,Stories!$L$2:L$200,"*Blocked*")&gt;0,"🚫 Blocked",IF(J20=1,"✅ Completed",IF(J20&gt;0,"🔄 In Progress","⏳ Planned")))</f>
        <v>⏳ Planned</v>
      </c>
    </row>
    <row r="21" spans="1:11" ht="23.25" customHeight="1" x14ac:dyDescent="0.2">
      <c r="A21" s="5">
        <v>20</v>
      </c>
      <c r="B21" s="5" t="s">
        <v>33</v>
      </c>
      <c r="C21" s="10" t="s">
        <v>194</v>
      </c>
      <c r="D21" s="11" t="s">
        <v>195</v>
      </c>
      <c r="E21" s="11" t="s">
        <v>196</v>
      </c>
      <c r="F21" s="5"/>
      <c r="G21" s="12"/>
      <c r="H21" s="12"/>
      <c r="I21" s="12"/>
      <c r="J21" s="6">
        <f>IFERROR(AVERAGEIF(Stories!$C$2:C$200,C21,Stories!$O$2:O$200),0)/100</f>
        <v>0</v>
      </c>
      <c r="K21" s="5" t="str">
        <f>IF(COUNTIFS(Stories!$C$2:C$200,C21,Stories!$L$2:L$200,"*Blocked*")&gt;0,"🚫 Blocked",IF(J21=1,"✅ Completed",IF(J21&gt;0,"🔄 In Progress","⏳ Planned")))</f>
        <v>⏳ Planned</v>
      </c>
    </row>
    <row r="22" spans="1:11" ht="15" customHeight="1" x14ac:dyDescent="0.2">
      <c r="A22" s="5">
        <v>21</v>
      </c>
      <c r="B22" s="5" t="s">
        <v>33</v>
      </c>
      <c r="C22" s="10" t="s">
        <v>197</v>
      </c>
      <c r="D22" s="11" t="s">
        <v>198</v>
      </c>
      <c r="E22" s="11" t="s">
        <v>199</v>
      </c>
      <c r="F22" s="5"/>
      <c r="G22" s="12"/>
      <c r="H22" s="12"/>
      <c r="I22" s="12"/>
      <c r="J22" s="6">
        <f>IFERROR(AVERAGEIF(Stories!$C$2:C$200,C22,Stories!$O$2:O$200),0)/100</f>
        <v>0</v>
      </c>
      <c r="K22" s="5" t="str">
        <f>IF(COUNTIFS(Stories!$C$2:C$200,C22,Stories!$L$2:L$200,"*Blocked*")&gt;0,"🚫 Blocked",IF(J22=1,"✅ Completed",IF(J22&gt;0,"🔄 In Progress","⏳ Planned")))</f>
        <v>⏳ Planned</v>
      </c>
    </row>
    <row r="23" spans="1:11" ht="15" customHeight="1" x14ac:dyDescent="0.2">
      <c r="A23" s="5">
        <v>22</v>
      </c>
      <c r="B23" s="5" t="s">
        <v>36</v>
      </c>
      <c r="C23" s="10" t="s">
        <v>200</v>
      </c>
      <c r="D23" s="11" t="s">
        <v>201</v>
      </c>
      <c r="E23" s="11" t="s">
        <v>202</v>
      </c>
      <c r="F23" s="5"/>
      <c r="G23" s="12"/>
      <c r="H23" s="12"/>
      <c r="I23" s="12"/>
      <c r="J23" s="6">
        <f>IFERROR(AVERAGEIF(Stories!$C$2:C$200,C23,Stories!$O$2:O$200),0)/100</f>
        <v>0</v>
      </c>
      <c r="K23" s="5" t="str">
        <f>IF(COUNTIFS(Stories!$C$2:C$200,C23,Stories!$L$2:L$200,"*Blocked*")&gt;0,"🚫 Blocked",IF(J23=1,"✅ Completed",IF(J23&gt;0,"🔄 In Progress","⏳ Planned")))</f>
        <v>⏳ Planned</v>
      </c>
    </row>
    <row r="24" spans="1:11" ht="15" customHeight="1" x14ac:dyDescent="0.2">
      <c r="A24" s="5">
        <v>23</v>
      </c>
      <c r="B24" s="5" t="s">
        <v>36</v>
      </c>
      <c r="C24" s="10" t="s">
        <v>203</v>
      </c>
      <c r="D24" s="11" t="s">
        <v>204</v>
      </c>
      <c r="E24" s="11" t="s">
        <v>205</v>
      </c>
      <c r="F24" s="5"/>
      <c r="G24" s="12"/>
      <c r="H24" s="12"/>
      <c r="I24" s="12"/>
      <c r="J24" s="6">
        <f>IFERROR(AVERAGEIF(Stories!$C$2:C$200,C24,Stories!$O$2:O$200),0)/100</f>
        <v>0</v>
      </c>
      <c r="K24" s="5" t="str">
        <f>IF(COUNTIFS(Stories!$C$2:C$200,C24,Stories!$L$2:L$200,"*Blocked*")&gt;0,"🚫 Blocked",IF(J24=1,"✅ Completed",IF(J24&gt;0,"🔄 In Progress","⏳ Planned")))</f>
        <v>⏳ Planned</v>
      </c>
    </row>
    <row r="25" spans="1:11" ht="15" customHeight="1" x14ac:dyDescent="0.2">
      <c r="A25" s="5">
        <v>24</v>
      </c>
      <c r="B25" s="5" t="s">
        <v>39</v>
      </c>
      <c r="C25" s="10" t="s">
        <v>206</v>
      </c>
      <c r="D25" s="11" t="s">
        <v>207</v>
      </c>
      <c r="E25" s="11" t="s">
        <v>208</v>
      </c>
      <c r="F25" s="5"/>
      <c r="G25" s="12"/>
      <c r="H25" s="12"/>
      <c r="I25" s="12"/>
      <c r="J25" s="6">
        <f>IFERROR(AVERAGEIF(Stories!$C$2:C$200,C25,Stories!$O$2:O$200),0)/100</f>
        <v>0</v>
      </c>
      <c r="K25" s="5" t="str">
        <f>IF(COUNTIFS(Stories!$C$2:C$200,C25,Stories!$L$2:L$200,"*Blocked*")&gt;0,"🚫 Blocked",IF(J25=1,"✅ Completed",IF(J25&gt;0,"🔄 In Progress","⏳ Planned")))</f>
        <v>⏳ Planned</v>
      </c>
    </row>
    <row r="26" spans="1:11" ht="15" customHeight="1" x14ac:dyDescent="0.2">
      <c r="A26" s="5">
        <v>25</v>
      </c>
      <c r="B26" s="5" t="s">
        <v>39</v>
      </c>
      <c r="C26" s="10" t="s">
        <v>209</v>
      </c>
      <c r="D26" s="11" t="s">
        <v>210</v>
      </c>
      <c r="E26" s="11" t="s">
        <v>211</v>
      </c>
      <c r="F26" s="5"/>
      <c r="G26" s="12"/>
      <c r="H26" s="12"/>
      <c r="I26" s="12"/>
      <c r="J26" s="6">
        <f>IFERROR(AVERAGEIF(Stories!$C$2:C$200,C26,Stories!$O$2:O$200),0)/100</f>
        <v>0</v>
      </c>
      <c r="K26" s="5" t="str">
        <f>IF(COUNTIFS(Stories!$C$2:C$200,C26,Stories!$L$2:L$200,"*Blocked*")&gt;0,"🚫 Blocked",IF(J26=1,"✅ Completed",IF(J26&gt;0,"🔄 In Progress","⏳ Planned")))</f>
        <v>⏳ Planned</v>
      </c>
    </row>
    <row r="27" spans="1:11" ht="23.25" customHeight="1" x14ac:dyDescent="0.2">
      <c r="A27" s="5">
        <v>26</v>
      </c>
      <c r="B27" s="5" t="s">
        <v>39</v>
      </c>
      <c r="C27" s="10" t="s">
        <v>212</v>
      </c>
      <c r="D27" s="11" t="s">
        <v>213</v>
      </c>
      <c r="E27" s="11" t="s">
        <v>214</v>
      </c>
      <c r="F27" s="5"/>
      <c r="G27" s="12"/>
      <c r="H27" s="12"/>
      <c r="I27" s="12"/>
      <c r="J27" s="6">
        <f>IFERROR(AVERAGEIF(Stories!$C$2:C$200,C27,Stories!$O$2:O$200),0)/100</f>
        <v>0</v>
      </c>
      <c r="K27" s="5" t="str">
        <f>IF(COUNTIFS(Stories!$C$2:C$200,C27,Stories!$L$2:L$200,"*Blocked*")&gt;0,"🚫 Blocked",IF(J27=1,"✅ Completed",IF(J27&gt;0,"🔄 In Progress","⏳ Planned")))</f>
        <v>⏳ Planned</v>
      </c>
    </row>
    <row r="28" spans="1:11" ht="15" customHeight="1" x14ac:dyDescent="0.2">
      <c r="A28" s="5">
        <v>27</v>
      </c>
      <c r="B28" s="5" t="s">
        <v>42</v>
      </c>
      <c r="C28" s="10" t="s">
        <v>215</v>
      </c>
      <c r="D28" s="11" t="s">
        <v>216</v>
      </c>
      <c r="E28" s="11" t="s">
        <v>217</v>
      </c>
      <c r="F28" s="5"/>
      <c r="G28" s="12"/>
      <c r="H28" s="12"/>
      <c r="I28" s="12"/>
      <c r="J28" s="6">
        <f>IFERROR(AVERAGEIF(Stories!$C$2:C$200,C28,Stories!$O$2:O$200),0)/100</f>
        <v>0</v>
      </c>
      <c r="K28" s="5" t="str">
        <f>IF(COUNTIFS(Stories!$C$2:C$200,C28,Stories!$L$2:L$200,"*Blocked*")&gt;0,"🚫 Blocked",IF(J28=1,"✅ Completed",IF(J28&gt;0,"🔄 In Progress","⏳ Planned")))</f>
        <v>⏳ Planned</v>
      </c>
    </row>
    <row r="29" spans="1:11" ht="15" customHeight="1" x14ac:dyDescent="0.2">
      <c r="A29" s="5">
        <v>28</v>
      </c>
      <c r="B29" s="5" t="s">
        <v>42</v>
      </c>
      <c r="C29" s="10" t="s">
        <v>218</v>
      </c>
      <c r="D29" s="11" t="s">
        <v>219</v>
      </c>
      <c r="E29" s="11" t="s">
        <v>220</v>
      </c>
      <c r="F29" s="5"/>
      <c r="G29" s="12"/>
      <c r="H29" s="12"/>
      <c r="I29" s="12"/>
      <c r="J29" s="6">
        <f>IFERROR(AVERAGEIF(Stories!$C$2:C$200,C29,Stories!$O$2:O$200),0)/100</f>
        <v>0</v>
      </c>
      <c r="K29" s="5" t="str">
        <f>IF(COUNTIFS(Stories!$C$2:C$200,C29,Stories!$L$2:L$200,"*Blocked*")&gt;0,"🚫 Blocked",IF(J29=1,"✅ Completed",IF(J29&gt;0,"🔄 In Progress","⏳ Planned")))</f>
        <v>⏳ Planned</v>
      </c>
    </row>
    <row r="30" spans="1:11" ht="15" customHeight="1" x14ac:dyDescent="0.2">
      <c r="A30" s="5">
        <v>29</v>
      </c>
      <c r="B30" s="5" t="s">
        <v>42</v>
      </c>
      <c r="C30" s="10" t="s">
        <v>221</v>
      </c>
      <c r="D30" s="11" t="s">
        <v>222</v>
      </c>
      <c r="E30" s="11" t="s">
        <v>223</v>
      </c>
      <c r="F30" s="5"/>
      <c r="G30" s="12"/>
      <c r="H30" s="12"/>
      <c r="I30" s="12"/>
      <c r="J30" s="6">
        <f>IFERROR(AVERAGEIF(Stories!$C$2:C$200,C30,Stories!$O$2:O$200),0)/100</f>
        <v>0</v>
      </c>
      <c r="K30" s="5" t="str">
        <f>IF(COUNTIFS(Stories!$C$2:C$200,C30,Stories!$L$2:L$200,"*Blocked*")&gt;0,"🚫 Blocked",IF(J30=1,"✅ Completed",IF(J30&gt;0,"🔄 In Progress","⏳ Planned")))</f>
        <v>⏳ Planned</v>
      </c>
    </row>
    <row r="31" spans="1:11" ht="15" customHeight="1" x14ac:dyDescent="0.2">
      <c r="A31" s="5">
        <v>30</v>
      </c>
      <c r="B31" s="5" t="s">
        <v>45</v>
      </c>
      <c r="C31" s="10" t="s">
        <v>224</v>
      </c>
      <c r="D31" s="11" t="s">
        <v>225</v>
      </c>
      <c r="E31" s="11" t="s">
        <v>226</v>
      </c>
      <c r="F31" s="5"/>
      <c r="G31" s="12"/>
      <c r="H31" s="12"/>
      <c r="I31" s="12"/>
      <c r="J31" s="6">
        <f>IFERROR(AVERAGEIF(Stories!$C$2:C$200,C31,Stories!$O$2:O$200),0)/100</f>
        <v>0</v>
      </c>
      <c r="K31" s="5" t="str">
        <f>IF(COUNTIFS(Stories!$C$2:C$200,C31,Stories!$L$2:L$200,"*Blocked*")&gt;0,"🚫 Blocked",IF(J31=1,"✅ Completed",IF(J31&gt;0,"🔄 In Progress","⏳ Planned")))</f>
        <v>⏳ Planned</v>
      </c>
    </row>
    <row r="32" spans="1:11" ht="15" customHeight="1" x14ac:dyDescent="0.2">
      <c r="A32" s="5">
        <v>31</v>
      </c>
      <c r="B32" s="5" t="s">
        <v>45</v>
      </c>
      <c r="C32" s="10" t="s">
        <v>227</v>
      </c>
      <c r="D32" s="11" t="s">
        <v>228</v>
      </c>
      <c r="E32" s="11" t="s">
        <v>229</v>
      </c>
      <c r="F32" s="5"/>
      <c r="G32" s="12"/>
      <c r="H32" s="12"/>
      <c r="I32" s="12"/>
      <c r="J32" s="6">
        <f>IFERROR(AVERAGEIF(Stories!$C$2:C$200,C32,Stories!$O$2:O$200),0)/100</f>
        <v>0</v>
      </c>
      <c r="K32" s="5" t="str">
        <f>IF(COUNTIFS(Stories!$C$2:C$200,C32,Stories!$L$2:L$200,"*Blocked*")&gt;0,"🚫 Blocked",IF(J32=1,"✅ Completed",IF(J32&gt;0,"🔄 In Progress","⏳ Planned")))</f>
        <v>⏳ Planned</v>
      </c>
    </row>
    <row r="33" spans="1:11" ht="15" customHeight="1" x14ac:dyDescent="0.2">
      <c r="A33" s="5">
        <v>32</v>
      </c>
      <c r="B33" s="5" t="s">
        <v>48</v>
      </c>
      <c r="C33" s="10" t="s">
        <v>230</v>
      </c>
      <c r="D33" s="11" t="s">
        <v>231</v>
      </c>
      <c r="E33" s="11" t="s">
        <v>232</v>
      </c>
      <c r="F33" s="5"/>
      <c r="G33" s="12"/>
      <c r="H33" s="12"/>
      <c r="I33" s="12"/>
      <c r="J33" s="6">
        <f>IFERROR(AVERAGEIF(Stories!$C$2:C$200,C33,Stories!$O$2:O$200),0)/100</f>
        <v>0</v>
      </c>
      <c r="K33" s="5" t="str">
        <f>IF(COUNTIFS(Stories!$C$2:C$200,C33,Stories!$L$2:L$200,"*Blocked*")&gt;0,"🚫 Blocked",IF(J33=1,"✅ Completed",IF(J33&gt;0,"🔄 In Progress","⏳ Planned")))</f>
        <v>⏳ Planned</v>
      </c>
    </row>
    <row r="34" spans="1:11" ht="15" customHeight="1" x14ac:dyDescent="0.2">
      <c r="A34" s="5">
        <v>33</v>
      </c>
      <c r="B34" s="5" t="s">
        <v>48</v>
      </c>
      <c r="C34" s="10" t="s">
        <v>233</v>
      </c>
      <c r="D34" s="11" t="s">
        <v>234</v>
      </c>
      <c r="E34" s="11" t="s">
        <v>235</v>
      </c>
      <c r="F34" s="5"/>
      <c r="G34" s="12"/>
      <c r="H34" s="12"/>
      <c r="I34" s="12"/>
      <c r="J34" s="6">
        <f>IFERROR(AVERAGEIF(Stories!$C$2:C$200,C34,Stories!$O$2:O$200),0)/100</f>
        <v>0</v>
      </c>
      <c r="K34" s="5" t="str">
        <f>IF(COUNTIFS(Stories!$C$2:C$200,C34,Stories!$L$2:L$200,"*Blocked*")&gt;0,"🚫 Blocked",IF(J34=1,"✅ Completed",IF(J34&gt;0,"🔄 In Progress","⏳ Planned")))</f>
        <v>⏳ Planned</v>
      </c>
    </row>
    <row r="35" spans="1:11" ht="15" customHeight="1" x14ac:dyDescent="0.2">
      <c r="A35" s="5">
        <v>34</v>
      </c>
      <c r="B35" s="5" t="s">
        <v>48</v>
      </c>
      <c r="C35" s="10" t="s">
        <v>236</v>
      </c>
      <c r="D35" s="11" t="s">
        <v>237</v>
      </c>
      <c r="E35" s="11" t="s">
        <v>238</v>
      </c>
      <c r="F35" s="5"/>
      <c r="G35" s="12"/>
      <c r="H35" s="12"/>
      <c r="I35" s="12"/>
      <c r="J35" s="6">
        <f>IFERROR(AVERAGEIF(Stories!$C$2:C$200,C35,Stories!$O$2:O$200),0)/100</f>
        <v>0</v>
      </c>
      <c r="K35" s="5" t="str">
        <f>IF(COUNTIFS(Stories!$C$2:C$200,C35,Stories!$L$2:L$200,"*Blocked*")&gt;0,"🚫 Blocked",IF(J35=1,"✅ Completed",IF(J35&gt;0,"🔄 In Progress","⏳ Planned")))</f>
        <v>⏳ Planned</v>
      </c>
    </row>
    <row r="36" spans="1:11" ht="15" customHeight="1" x14ac:dyDescent="0.2">
      <c r="A36" s="5">
        <v>35</v>
      </c>
      <c r="B36" s="5" t="s">
        <v>51</v>
      </c>
      <c r="C36" s="10" t="s">
        <v>239</v>
      </c>
      <c r="D36" s="11" t="s">
        <v>240</v>
      </c>
      <c r="E36" s="11" t="s">
        <v>241</v>
      </c>
      <c r="F36" s="5"/>
      <c r="G36" s="12"/>
      <c r="H36" s="12"/>
      <c r="I36" s="12"/>
      <c r="J36" s="6">
        <f>IFERROR(AVERAGEIF(Stories!$C$2:C$200,C36,Stories!$O$2:O$200),0)/100</f>
        <v>0</v>
      </c>
      <c r="K36" s="5" t="str">
        <f>IF(COUNTIFS(Stories!$C$2:C$200,C36,Stories!$L$2:L$200,"*Blocked*")&gt;0,"🚫 Blocked",IF(J36=1,"✅ Completed",IF(J36&gt;0,"🔄 In Progress","⏳ Planned")))</f>
        <v>⏳ Planned</v>
      </c>
    </row>
    <row r="37" spans="1:11" ht="15" customHeight="1" x14ac:dyDescent="0.2">
      <c r="A37" s="5">
        <v>36</v>
      </c>
      <c r="B37" s="5" t="s">
        <v>51</v>
      </c>
      <c r="C37" s="10" t="s">
        <v>242</v>
      </c>
      <c r="D37" s="11" t="s">
        <v>243</v>
      </c>
      <c r="E37" s="11" t="s">
        <v>244</v>
      </c>
      <c r="F37" s="5"/>
      <c r="G37" s="12"/>
      <c r="H37" s="12"/>
      <c r="I37" s="12"/>
      <c r="J37" s="6">
        <f>IFERROR(AVERAGEIF(Stories!$C$2:C$200,C37,Stories!$O$2:O$200),0)/100</f>
        <v>0</v>
      </c>
      <c r="K37" s="5" t="str">
        <f>IF(COUNTIFS(Stories!$C$2:C$200,C37,Stories!$L$2:L$200,"*Blocked*")&gt;0,"🚫 Blocked",IF(J37=1,"✅ Completed",IF(J37&gt;0,"🔄 In Progress","⏳ Planned")))</f>
        <v>⏳ Planned</v>
      </c>
    </row>
    <row r="38" spans="1:11" ht="23.25" customHeight="1" x14ac:dyDescent="0.2">
      <c r="A38" s="5">
        <v>37</v>
      </c>
      <c r="B38" s="5" t="s">
        <v>51</v>
      </c>
      <c r="C38" s="10" t="s">
        <v>245</v>
      </c>
      <c r="D38" s="11" t="s">
        <v>246</v>
      </c>
      <c r="E38" s="11" t="s">
        <v>247</v>
      </c>
      <c r="F38" s="5"/>
      <c r="G38" s="12"/>
      <c r="H38" s="12"/>
      <c r="I38" s="12"/>
      <c r="J38" s="6">
        <f>IFERROR(AVERAGEIF(Stories!$C$2:C$200,C38,Stories!$O$2:O$200),0)/100</f>
        <v>0</v>
      </c>
      <c r="K38" s="5" t="str">
        <f>IF(COUNTIFS(Stories!$C$2:C$200,C38,Stories!$L$2:L$200,"*Blocked*")&gt;0,"🚫 Blocked",IF(J38=1,"✅ Completed",IF(J38&gt;0,"🔄 In Progress","⏳ Planned")))</f>
        <v>⏳ Planned</v>
      </c>
    </row>
    <row r="39" spans="1:11" ht="23.25" customHeight="1" x14ac:dyDescent="0.2">
      <c r="A39" s="5">
        <v>38</v>
      </c>
      <c r="B39" s="5" t="s">
        <v>54</v>
      </c>
      <c r="C39" s="10" t="s">
        <v>248</v>
      </c>
      <c r="D39" s="11" t="s">
        <v>249</v>
      </c>
      <c r="E39" s="11" t="s">
        <v>250</v>
      </c>
      <c r="F39" s="5"/>
      <c r="G39" s="12"/>
      <c r="H39" s="12"/>
      <c r="I39" s="12"/>
      <c r="J39" s="6">
        <f>IFERROR(AVERAGEIF(Stories!$C$2:C$200,C39,Stories!$O$2:O$200),0)/100</f>
        <v>0</v>
      </c>
      <c r="K39" s="5" t="str">
        <f>IF(COUNTIFS(Stories!$C$2:C$200,C39,Stories!$L$2:L$200,"*Blocked*")&gt;0,"🚫 Blocked",IF(J39=1,"✅ Completed",IF(J39&gt;0,"🔄 In Progress","⏳ Planned")))</f>
        <v>⏳ Planned</v>
      </c>
    </row>
    <row r="40" spans="1:11" ht="23.25" customHeight="1" x14ac:dyDescent="0.2">
      <c r="A40" s="5">
        <v>39</v>
      </c>
      <c r="B40" s="5" t="s">
        <v>54</v>
      </c>
      <c r="C40" s="10" t="s">
        <v>251</v>
      </c>
      <c r="D40" s="11" t="s">
        <v>252</v>
      </c>
      <c r="E40" s="11" t="s">
        <v>253</v>
      </c>
      <c r="F40" s="5"/>
      <c r="G40" s="12"/>
      <c r="H40" s="12"/>
      <c r="I40" s="12"/>
      <c r="J40" s="6">
        <f>IFERROR(AVERAGEIF(Stories!$C$2:C$200,C40,Stories!$O$2:O$200),0)/100</f>
        <v>0</v>
      </c>
      <c r="K40" s="5" t="str">
        <f>IF(COUNTIFS(Stories!$C$2:C$200,C40,Stories!$L$2:L$200,"*Blocked*")&gt;0,"🚫 Blocked",IF(J40=1,"✅ Completed",IF(J40&gt;0,"🔄 In Progress","⏳ Planned")))</f>
        <v>⏳ Planned</v>
      </c>
    </row>
    <row r="41" spans="1:11" ht="23.25" customHeight="1" x14ac:dyDescent="0.2">
      <c r="A41" s="5">
        <v>40</v>
      </c>
      <c r="B41" s="5" t="s">
        <v>54</v>
      </c>
      <c r="C41" s="10" t="s">
        <v>254</v>
      </c>
      <c r="D41" s="11" t="s">
        <v>255</v>
      </c>
      <c r="E41" s="11" t="s">
        <v>256</v>
      </c>
      <c r="F41" s="5"/>
      <c r="G41" s="12"/>
      <c r="H41" s="12"/>
      <c r="I41" s="12"/>
      <c r="J41" s="6">
        <f>IFERROR(AVERAGEIF(Stories!$C$2:C$200,C41,Stories!$O$2:O$200),0)/100</f>
        <v>0</v>
      </c>
      <c r="K41" s="5" t="str">
        <f>IF(COUNTIFS(Stories!$C$2:C$200,C41,Stories!$L$2:L$200,"*Blocked*")&gt;0,"🚫 Blocked",IF(J41=1,"✅ Completed",IF(J41&gt;0,"🔄 In Progress","⏳ Planned")))</f>
        <v>⏳ Planned</v>
      </c>
    </row>
    <row r="42" spans="1:11" ht="23.25" customHeight="1" x14ac:dyDescent="0.2">
      <c r="A42" s="5">
        <v>41</v>
      </c>
      <c r="B42" s="5" t="s">
        <v>57</v>
      </c>
      <c r="C42" s="10" t="s">
        <v>257</v>
      </c>
      <c r="D42" s="11" t="s">
        <v>258</v>
      </c>
      <c r="E42" s="11" t="s">
        <v>259</v>
      </c>
      <c r="F42" s="5"/>
      <c r="G42" s="12"/>
      <c r="H42" s="12"/>
      <c r="I42" s="12"/>
      <c r="J42" s="6">
        <f>IFERROR(AVERAGEIF(Stories!$C$2:C$200,C42,Stories!$O$2:O$200),0)/100</f>
        <v>0</v>
      </c>
      <c r="K42" s="5" t="str">
        <f>IF(COUNTIFS(Stories!$C$2:C$200,C42,Stories!$L$2:L$200,"*Blocked*")&gt;0,"🚫 Blocked",IF(J42=1,"✅ Completed",IF(J42&gt;0,"🔄 In Progress","⏳ Planned")))</f>
        <v>⏳ Planned</v>
      </c>
    </row>
    <row r="43" spans="1:11" ht="23.25" customHeight="1" x14ac:dyDescent="0.2">
      <c r="A43" s="5">
        <v>42</v>
      </c>
      <c r="B43" s="5" t="s">
        <v>60</v>
      </c>
      <c r="C43" s="10" t="s">
        <v>260</v>
      </c>
      <c r="D43" s="11" t="s">
        <v>261</v>
      </c>
      <c r="E43" s="11" t="s">
        <v>262</v>
      </c>
      <c r="F43" s="5"/>
      <c r="G43" s="12"/>
      <c r="H43" s="12"/>
      <c r="I43" s="12"/>
      <c r="J43" s="6">
        <f>IFERROR(AVERAGEIF(Stories!$C$2:C$200,C43,Stories!$O$2:O$200),0)/100</f>
        <v>0</v>
      </c>
      <c r="K43" s="5" t="str">
        <f>IF(COUNTIFS(Stories!$C$2:C$200,C43,Stories!$L$2:L$200,"*Blocked*")&gt;0,"🚫 Blocked",IF(J43=1,"✅ Completed",IF(J43&gt;0,"🔄 In Progress","⏳ Planned")))</f>
        <v>⏳ Planned</v>
      </c>
    </row>
    <row r="44" spans="1:11" ht="15" customHeight="1" x14ac:dyDescent="0.2">
      <c r="A44" s="5">
        <v>43</v>
      </c>
      <c r="B44" s="5" t="s">
        <v>63</v>
      </c>
      <c r="C44" s="10" t="s">
        <v>263</v>
      </c>
      <c r="D44" s="11" t="s">
        <v>264</v>
      </c>
      <c r="E44" s="11" t="s">
        <v>265</v>
      </c>
      <c r="F44" s="5"/>
      <c r="G44" s="12"/>
      <c r="H44" s="12"/>
      <c r="I44" s="12"/>
      <c r="J44" s="6">
        <f>IFERROR(AVERAGEIF(Stories!$C$2:C$200,C44,Stories!$O$2:O$200),0)/100</f>
        <v>0</v>
      </c>
      <c r="K44" s="5" t="str">
        <f>IF(COUNTIFS(Stories!$C$2:C$200,C44,Stories!$L$2:L$200,"*Blocked*")&gt;0,"🚫 Blocked",IF(J44=1,"✅ Completed",IF(J44&gt;0,"🔄 In Progress","⏳ Planned")))</f>
        <v>⏳ Planned</v>
      </c>
    </row>
    <row r="45" spans="1:11" ht="15" customHeight="1" x14ac:dyDescent="0.2">
      <c r="A45" s="5">
        <v>44</v>
      </c>
      <c r="B45" s="5" t="s">
        <v>63</v>
      </c>
      <c r="C45" s="10" t="s">
        <v>266</v>
      </c>
      <c r="D45" s="11" t="s">
        <v>267</v>
      </c>
      <c r="E45" s="11" t="s">
        <v>268</v>
      </c>
      <c r="F45" s="5"/>
      <c r="G45" s="12"/>
      <c r="H45" s="12"/>
      <c r="I45" s="12"/>
      <c r="J45" s="6">
        <f>IFERROR(AVERAGEIF(Stories!$C$2:C$200,C45,Stories!$O$2:O$200),0)/100</f>
        <v>0</v>
      </c>
      <c r="K45" s="5" t="str">
        <f>IF(COUNTIFS(Stories!$C$2:C$200,C45,Stories!$L$2:L$200,"*Blocked*")&gt;0,"🚫 Blocked",IF(J45=1,"✅ Completed",IF(J45&gt;0,"🔄 In Progress","⏳ Planned")))</f>
        <v>⏳ Planned</v>
      </c>
    </row>
    <row r="46" spans="1:11" ht="15" customHeight="1" x14ac:dyDescent="0.2">
      <c r="A46" s="5">
        <v>45</v>
      </c>
      <c r="B46" s="5" t="s">
        <v>66</v>
      </c>
      <c r="C46" s="10" t="s">
        <v>269</v>
      </c>
      <c r="D46" s="11" t="s">
        <v>270</v>
      </c>
      <c r="E46" s="11" t="s">
        <v>271</v>
      </c>
      <c r="F46" s="5"/>
      <c r="G46" s="12"/>
      <c r="H46" s="12"/>
      <c r="I46" s="12"/>
      <c r="J46" s="6">
        <f>IFERROR(AVERAGEIF(Stories!$C$2:C$200,C46,Stories!$O$2:O$200),0)/100</f>
        <v>0</v>
      </c>
      <c r="K46" s="5" t="str">
        <f>IF(COUNTIFS(Stories!$C$2:C$200,C46,Stories!$L$2:L$200,"*Blocked*")&gt;0,"🚫 Blocked",IF(J46=1,"✅ Completed",IF(J46&gt;0,"🔄 In Progress","⏳ Planned")))</f>
        <v>⏳ Planned</v>
      </c>
    </row>
    <row r="47" spans="1:11" ht="15" customHeight="1" x14ac:dyDescent="0.2">
      <c r="A47" s="5">
        <v>46</v>
      </c>
      <c r="B47" s="5" t="s">
        <v>66</v>
      </c>
      <c r="C47" s="10" t="s">
        <v>272</v>
      </c>
      <c r="D47" s="11" t="s">
        <v>273</v>
      </c>
      <c r="E47" s="11" t="s">
        <v>274</v>
      </c>
      <c r="F47" s="5"/>
      <c r="G47" s="12"/>
      <c r="H47" s="12"/>
      <c r="I47" s="12"/>
      <c r="J47" s="6">
        <f>IFERROR(AVERAGEIF(Stories!$C$2:C$200,C47,Stories!$O$2:O$200),0)/100</f>
        <v>0</v>
      </c>
      <c r="K47" s="5" t="str">
        <f>IF(COUNTIFS(Stories!$C$2:C$200,C47,Stories!$L$2:L$200,"*Blocked*")&gt;0,"🚫 Blocked",IF(J47=1,"✅ Completed",IF(J47&gt;0,"🔄 In Progress","⏳ Planned")))</f>
        <v>⏳ Planned</v>
      </c>
    </row>
    <row r="48" spans="1:11" ht="15" customHeight="1" x14ac:dyDescent="0.2">
      <c r="A48" s="5">
        <v>47</v>
      </c>
      <c r="B48" s="5" t="s">
        <v>69</v>
      </c>
      <c r="C48" s="10" t="s">
        <v>275</v>
      </c>
      <c r="D48" s="11" t="s">
        <v>276</v>
      </c>
      <c r="E48" s="11" t="s">
        <v>277</v>
      </c>
      <c r="F48" s="5"/>
      <c r="G48" s="12"/>
      <c r="H48" s="12"/>
      <c r="I48" s="12"/>
      <c r="J48" s="6">
        <f>IFERROR(AVERAGEIF(Stories!$C$2:C$200,C48,Stories!$O$2:O$200),0)/100</f>
        <v>0</v>
      </c>
      <c r="K48" s="5" t="str">
        <f>IF(COUNTIFS(Stories!$C$2:C$200,C48,Stories!$L$2:L$200,"*Blocked*")&gt;0,"🚫 Blocked",IF(J48=1,"✅ Completed",IF(J48&gt;0,"🔄 In Progress","⏳ Planned")))</f>
        <v>⏳ Planned</v>
      </c>
    </row>
    <row r="49" spans="1:11" ht="23.25" customHeight="1" x14ac:dyDescent="0.2">
      <c r="A49" s="5">
        <v>48</v>
      </c>
      <c r="B49" s="5" t="s">
        <v>69</v>
      </c>
      <c r="C49" s="10" t="s">
        <v>278</v>
      </c>
      <c r="D49" s="11" t="s">
        <v>279</v>
      </c>
      <c r="E49" s="11" t="s">
        <v>280</v>
      </c>
      <c r="F49" s="5"/>
      <c r="G49" s="12"/>
      <c r="H49" s="12"/>
      <c r="I49" s="12"/>
      <c r="J49" s="6">
        <f>IFERROR(AVERAGEIF(Stories!$C$2:C$200,C49,Stories!$O$2:O$200),0)/100</f>
        <v>0</v>
      </c>
      <c r="K49" s="5" t="str">
        <f>IF(COUNTIFS(Stories!$C$2:C$200,C49,Stories!$L$2:L$200,"*Blocked*")&gt;0,"🚫 Blocked",IF(J49=1,"✅ Completed",IF(J49&gt;0,"🔄 In Progress","⏳ Planned")))</f>
        <v>⏳ Planned</v>
      </c>
    </row>
    <row r="50" spans="1:11" ht="23.25" customHeight="1" x14ac:dyDescent="0.2">
      <c r="A50" s="5">
        <v>49</v>
      </c>
      <c r="B50" s="5" t="s">
        <v>72</v>
      </c>
      <c r="C50" s="10" t="s">
        <v>281</v>
      </c>
      <c r="D50" s="11" t="s">
        <v>74</v>
      </c>
      <c r="E50" s="11" t="s">
        <v>282</v>
      </c>
      <c r="F50" s="5"/>
      <c r="G50" s="12"/>
      <c r="H50" s="12"/>
      <c r="I50" s="12"/>
      <c r="J50" s="6">
        <f>IFERROR(AVERAGEIF(Stories!$C$2:C$200,C50,Stories!$O$2:O$200),0)/100</f>
        <v>0</v>
      </c>
      <c r="K50" s="5" t="str">
        <f>IF(COUNTIFS(Stories!$C$2:C$200,C50,Stories!$L$2:L$200,"*Blocked*")&gt;0,"🚫 Blocked",IF(J50=1,"✅ Completed",IF(J50&gt;0,"🔄 In Progress","⏳ Planned")))</f>
        <v>⏳ Planned</v>
      </c>
    </row>
    <row r="51" spans="1:11" ht="23.25" customHeight="1" x14ac:dyDescent="0.2">
      <c r="A51" s="5">
        <v>50</v>
      </c>
      <c r="B51" s="5" t="s">
        <v>72</v>
      </c>
      <c r="C51" s="10" t="s">
        <v>283</v>
      </c>
      <c r="D51" s="11" t="s">
        <v>284</v>
      </c>
      <c r="E51" s="11" t="s">
        <v>285</v>
      </c>
      <c r="F51" s="5"/>
      <c r="G51" s="12"/>
      <c r="H51" s="12"/>
      <c r="I51" s="12"/>
      <c r="J51" s="6">
        <f>IFERROR(AVERAGEIF(Stories!$C$2:C$200,C51,Stories!$O$2:O$200),0)/100</f>
        <v>0</v>
      </c>
      <c r="K51" s="5" t="str">
        <f>IF(COUNTIFS(Stories!$C$2:C$200,C51,Stories!$L$2:L$200,"*Blocked*")&gt;0,"🚫 Blocked",IF(J51=1,"✅ Completed",IF(J51&gt;0,"🔄 In Progress","⏳ Planned")))</f>
        <v>⏳ Planned</v>
      </c>
    </row>
    <row r="52" spans="1:11" ht="23.25" customHeight="1" x14ac:dyDescent="0.2">
      <c r="A52" s="5">
        <v>51</v>
      </c>
      <c r="B52" s="5" t="s">
        <v>76</v>
      </c>
      <c r="C52" s="10" t="s">
        <v>286</v>
      </c>
      <c r="D52" s="11" t="s">
        <v>287</v>
      </c>
      <c r="E52" s="11" t="s">
        <v>288</v>
      </c>
      <c r="F52" s="5"/>
      <c r="G52" s="12"/>
      <c r="H52" s="12"/>
      <c r="I52" s="12"/>
      <c r="J52" s="6">
        <f>IFERROR(AVERAGEIF(Stories!$C$2:C$200,C52,Stories!$O$2:O$200),0)/100</f>
        <v>0</v>
      </c>
      <c r="K52" s="5" t="str">
        <f>IF(COUNTIFS(Stories!$C$2:C$200,C52,Stories!$L$2:L$200,"*Blocked*")&gt;0,"🚫 Blocked",IF(J52=1,"✅ Completed",IF(J52&gt;0,"🔄 In Progress","⏳ Planned")))</f>
        <v>⏳ Planned</v>
      </c>
    </row>
    <row r="53" spans="1:11" ht="23.25" customHeight="1" x14ac:dyDescent="0.2">
      <c r="A53" s="5">
        <v>52</v>
      </c>
      <c r="B53" s="5" t="s">
        <v>76</v>
      </c>
      <c r="C53" s="10" t="s">
        <v>289</v>
      </c>
      <c r="D53" s="11" t="s">
        <v>290</v>
      </c>
      <c r="E53" s="11" t="s">
        <v>291</v>
      </c>
      <c r="F53" s="5"/>
      <c r="G53" s="12"/>
      <c r="H53" s="12"/>
      <c r="I53" s="12"/>
      <c r="J53" s="6">
        <f>IFERROR(AVERAGEIF(Stories!$C$2:C$200,C53,Stories!$O$2:O$200),0)/100</f>
        <v>0</v>
      </c>
      <c r="K53" s="5" t="str">
        <f>IF(COUNTIFS(Stories!$C$2:C$200,C53,Stories!$L$2:L$200,"*Blocked*")&gt;0,"🚫 Blocked",IF(J53=1,"✅ Completed",IF(J53&gt;0,"🔄 In Progress","⏳ Planned")))</f>
        <v>⏳ Planned</v>
      </c>
    </row>
    <row r="54" spans="1:11" ht="23.25" customHeight="1" x14ac:dyDescent="0.2">
      <c r="A54" s="5">
        <v>53</v>
      </c>
      <c r="B54" s="5" t="s">
        <v>79</v>
      </c>
      <c r="C54" s="10" t="s">
        <v>292</v>
      </c>
      <c r="D54" s="11" t="s">
        <v>293</v>
      </c>
      <c r="E54" s="11" t="s">
        <v>294</v>
      </c>
      <c r="F54" s="5"/>
      <c r="G54" s="12"/>
      <c r="H54" s="12"/>
      <c r="I54" s="12"/>
      <c r="J54" s="6">
        <f>IFERROR(AVERAGEIF(Stories!$C$2:C$200,C54,Stories!$O$2:O$200),0)/100</f>
        <v>0</v>
      </c>
      <c r="K54" s="5" t="str">
        <f>IF(COUNTIFS(Stories!$C$2:C$200,C54,Stories!$L$2:L$200,"*Blocked*")&gt;0,"🚫 Blocked",IF(J54=1,"✅ Completed",IF(J54&gt;0,"🔄 In Progress","⏳ Planned")))</f>
        <v>⏳ Planned</v>
      </c>
    </row>
    <row r="55" spans="1:11" ht="23.25" customHeight="1" x14ac:dyDescent="0.2">
      <c r="A55" s="5">
        <v>54</v>
      </c>
      <c r="B55" s="5" t="s">
        <v>79</v>
      </c>
      <c r="C55" s="10" t="s">
        <v>295</v>
      </c>
      <c r="D55" s="11" t="s">
        <v>296</v>
      </c>
      <c r="E55" s="11" t="s">
        <v>297</v>
      </c>
      <c r="F55" s="5"/>
      <c r="G55" s="12"/>
      <c r="H55" s="12"/>
      <c r="I55" s="12"/>
      <c r="J55" s="6">
        <f>IFERROR(AVERAGEIF(Stories!$C$2:C$200,C55,Stories!$O$2:O$200),0)/100</f>
        <v>0</v>
      </c>
      <c r="K55" s="5" t="str">
        <f>IF(COUNTIFS(Stories!$C$2:C$200,C55,Stories!$L$2:L$200,"*Blocked*")&gt;0,"🚫 Blocked",IF(J55=1,"✅ Completed",IF(J55&gt;0,"🔄 In Progress","⏳ Planned")))</f>
        <v>⏳ Planned</v>
      </c>
    </row>
    <row r="56" spans="1:11" ht="23.25" customHeight="1" x14ac:dyDescent="0.2">
      <c r="A56" s="5">
        <v>55</v>
      </c>
      <c r="B56" s="5" t="s">
        <v>82</v>
      </c>
      <c r="C56" s="10" t="s">
        <v>298</v>
      </c>
      <c r="D56" s="11" t="s">
        <v>299</v>
      </c>
      <c r="E56" s="11" t="s">
        <v>300</v>
      </c>
      <c r="F56" s="5"/>
      <c r="G56" s="12"/>
      <c r="H56" s="12"/>
      <c r="I56" s="12"/>
      <c r="J56" s="6">
        <f>IFERROR(AVERAGEIF(Stories!$C$2:C$200,C56,Stories!$O$2:O$200),0)/100</f>
        <v>0</v>
      </c>
      <c r="K56" s="5" t="str">
        <f>IF(COUNTIFS(Stories!$C$2:C$200,C56,Stories!$L$2:L$200,"*Blocked*")&gt;0,"🚫 Blocked",IF(J56=1,"✅ Completed",IF(J56&gt;0,"🔄 In Progress","⏳ Planned")))</f>
        <v>⏳ Planned</v>
      </c>
    </row>
    <row r="57" spans="1:11" ht="23.25" customHeight="1" x14ac:dyDescent="0.2">
      <c r="A57" s="5">
        <v>56</v>
      </c>
      <c r="B57" s="5" t="s">
        <v>82</v>
      </c>
      <c r="C57" s="10" t="s">
        <v>301</v>
      </c>
      <c r="D57" s="11" t="s">
        <v>302</v>
      </c>
      <c r="E57" s="11" t="s">
        <v>303</v>
      </c>
      <c r="F57" s="5"/>
      <c r="G57" s="12"/>
      <c r="H57" s="12"/>
      <c r="I57" s="12"/>
      <c r="J57" s="6">
        <f>IFERROR(AVERAGEIF(Stories!$C$2:C$200,C57,Stories!$O$2:O$200),0)/100</f>
        <v>0</v>
      </c>
      <c r="K57" s="5" t="str">
        <f>IF(COUNTIFS(Stories!$C$2:C$200,C57,Stories!$L$2:L$200,"*Blocked*")&gt;0,"🚫 Blocked",IF(J57=1,"✅ Completed",IF(J57&gt;0,"🔄 In Progress","⏳ Planned")))</f>
        <v>⏳ Planned</v>
      </c>
    </row>
    <row r="58" spans="1:11" ht="23.25" customHeight="1" x14ac:dyDescent="0.2">
      <c r="A58" s="5">
        <v>57</v>
      </c>
      <c r="B58" s="5" t="s">
        <v>85</v>
      </c>
      <c r="C58" s="10" t="s">
        <v>304</v>
      </c>
      <c r="D58" s="11" t="s">
        <v>305</v>
      </c>
      <c r="E58" s="11" t="s">
        <v>306</v>
      </c>
      <c r="F58" s="5"/>
      <c r="G58" s="12"/>
      <c r="H58" s="12"/>
      <c r="I58" s="12"/>
      <c r="J58" s="6">
        <f>IFERROR(AVERAGEIF(Stories!$C$2:C$200,C58,Stories!$O$2:O$200),0)/100</f>
        <v>0</v>
      </c>
      <c r="K58" s="5" t="str">
        <f>IF(COUNTIFS(Stories!$C$2:C$200,C58,Stories!$L$2:L$200,"*Blocked*")&gt;0,"🚫 Blocked",IF(J58=1,"✅ Completed",IF(J58&gt;0,"🔄 In Progress","⏳ Planned")))</f>
        <v>⏳ Planned</v>
      </c>
    </row>
    <row r="59" spans="1:11" ht="30" x14ac:dyDescent="0.2">
      <c r="A59" s="5">
        <v>58</v>
      </c>
      <c r="B59" s="5" t="s">
        <v>39</v>
      </c>
      <c r="C59" s="10" t="s">
        <v>307</v>
      </c>
      <c r="D59" s="11" t="s">
        <v>308</v>
      </c>
      <c r="E59" s="11" t="s">
        <v>309</v>
      </c>
      <c r="F59" s="5"/>
      <c r="G59" s="12"/>
      <c r="H59" s="12"/>
      <c r="I59" s="12"/>
      <c r="J59" s="6">
        <f>IFERROR(AVERAGEIF(Stories!$C$2:$C$500,C59,Stories!$O$2:$O$500),0)/100</f>
        <v>0</v>
      </c>
      <c r="K59" s="5" t="str">
        <f>IF(COUNTIFS(Stories!$C$2:$C$500,C59,Stories!$L$2:$L$500,"*Blocked*")&gt;0,"🚫 Blocked",IF(J59=1,"✅ Completed",IF(J59&gt;0,"🔄 In Progress","⏳ Planned")))</f>
        <v>⏳ Planned</v>
      </c>
    </row>
    <row r="60" spans="1:11" ht="30" x14ac:dyDescent="0.2">
      <c r="A60" s="5">
        <v>59</v>
      </c>
      <c r="B60" s="5" t="s">
        <v>45</v>
      </c>
      <c r="C60" s="10" t="s">
        <v>310</v>
      </c>
      <c r="D60" s="11" t="s">
        <v>311</v>
      </c>
      <c r="E60" s="11" t="s">
        <v>312</v>
      </c>
      <c r="F60" s="5"/>
      <c r="G60" s="12"/>
      <c r="H60" s="12"/>
      <c r="I60" s="12"/>
      <c r="J60" s="6">
        <f>IFERROR(AVERAGEIF(Stories!$C$2:$C$500,C60,Stories!$O$2:$O$500),0)/100</f>
        <v>0</v>
      </c>
      <c r="K60" s="5" t="str">
        <f>IF(COUNTIFS(Stories!$C$2:$C$500,C60,Stories!$L$2:$L$500,"*Blocked*")&gt;0,"🚫 Blocked",IF(J60=1,"✅ Completed",IF(J60&gt;0,"🔄 In Progress","⏳ Planned")))</f>
        <v>⏳ Planned</v>
      </c>
    </row>
    <row r="61" spans="1:11" x14ac:dyDescent="0.2">
      <c r="A61" s="5">
        <v>60</v>
      </c>
      <c r="B61" s="5" t="s">
        <v>48</v>
      </c>
      <c r="C61" s="10" t="s">
        <v>313</v>
      </c>
      <c r="D61" s="11" t="s">
        <v>314</v>
      </c>
      <c r="E61" s="11" t="s">
        <v>315</v>
      </c>
      <c r="F61" s="5"/>
      <c r="G61" s="12"/>
      <c r="H61" s="12"/>
      <c r="I61" s="12"/>
      <c r="J61" s="6">
        <f>IFERROR(AVERAGEIF(Stories!$C$2:$C$500,C61,Stories!$O$2:$O$500),0)/100</f>
        <v>0</v>
      </c>
      <c r="K61" s="5" t="str">
        <f>IF(COUNTIFS(Stories!$C$2:$C$500,C61,Stories!$L$2:$L$500,"*Blocked*")&gt;0,"🚫 Blocked",IF(J61=1,"✅ Completed",IF(J61&gt;0,"🔄 In Progress","⏳ Planned")))</f>
        <v>⏳ Planned</v>
      </c>
    </row>
  </sheetData>
  <conditionalFormatting sqref="J2:J58">
    <cfRule type="dataBar" priority="8">
      <dataBar>
        <cfvo type="num" val="0"/>
        <cfvo type="num" val="100"/>
        <color rgb="FF638EC6"/>
      </dataBar>
    </cfRule>
  </conditionalFormatting>
  <conditionalFormatting sqref="K2:K58">
    <cfRule type="expression" dxfId="29" priority="2">
      <formula>ISNUMBER(SEARCH("Completed",K2))</formula>
    </cfRule>
    <cfRule type="expression" dxfId="28" priority="3">
      <formula>ISNUMBER(SEARCH("Done",K2))</formula>
    </cfRule>
    <cfRule type="expression" dxfId="27" priority="4">
      <formula>ISNUMBER(SEARCH("Progress",K2))</formula>
    </cfRule>
    <cfRule type="expression" dxfId="26" priority="5">
      <formula>ISNUMBER(SEARCH("Blocked",K2))</formula>
    </cfRule>
    <cfRule type="expression" dxfId="25" priority="6">
      <formula>ISNUMBER(SEARCH("Planned",K2))</formula>
    </cfRule>
    <cfRule type="expression" dxfId="24" priority="7">
      <formula>ISNUMBER(SEARCH("Not Started",K2))</formula>
    </cfRule>
  </conditionalFormatting>
  <hyperlinks>
    <hyperlink ref="C2" r:id="rId1" location="'Stories'!A1" xr:uid="{00000000-0004-0000-0300-000000000000}"/>
    <hyperlink ref="C3" r:id="rId2" location="'Stories'!A1" xr:uid="{00000000-0004-0000-0300-000001000000}"/>
    <hyperlink ref="C4" r:id="rId3" location="'Stories'!A1" xr:uid="{00000000-0004-0000-0300-000002000000}"/>
    <hyperlink ref="C5" r:id="rId4" location="'Stories'!A1" xr:uid="{00000000-0004-0000-0300-000003000000}"/>
    <hyperlink ref="C6" r:id="rId5" location="'Stories'!A1" xr:uid="{00000000-0004-0000-0300-000004000000}"/>
    <hyperlink ref="C7" r:id="rId6" location="'Stories'!A1" xr:uid="{00000000-0004-0000-0300-000005000000}"/>
    <hyperlink ref="C8" r:id="rId7" location="'Stories'!A1" xr:uid="{00000000-0004-0000-0300-000006000000}"/>
    <hyperlink ref="C9" r:id="rId8" location="'Stories'!A1" xr:uid="{00000000-0004-0000-0300-000007000000}"/>
    <hyperlink ref="C10" r:id="rId9" location="'Stories'!A1" xr:uid="{00000000-0004-0000-0300-000008000000}"/>
    <hyperlink ref="C11" r:id="rId10" location="'Stories'!A1" xr:uid="{00000000-0004-0000-0300-000009000000}"/>
    <hyperlink ref="C12" r:id="rId11" location="'Stories'!A1" xr:uid="{00000000-0004-0000-0300-00000A000000}"/>
    <hyperlink ref="C13" r:id="rId12" location="'Stories'!A1" xr:uid="{00000000-0004-0000-0300-00000B000000}"/>
    <hyperlink ref="C14" r:id="rId13" location="'Stories'!A1" xr:uid="{00000000-0004-0000-0300-00000C000000}"/>
    <hyperlink ref="C15" r:id="rId14" location="'Stories'!A1" xr:uid="{00000000-0004-0000-0300-00000D000000}"/>
    <hyperlink ref="C16" r:id="rId15" location="'Stories'!A1" xr:uid="{00000000-0004-0000-0300-00000E000000}"/>
    <hyperlink ref="C17" r:id="rId16" location="'Stories'!A1" xr:uid="{00000000-0004-0000-0300-00000F000000}"/>
    <hyperlink ref="C18" r:id="rId17" location="'Stories'!A1" xr:uid="{00000000-0004-0000-0300-000010000000}"/>
    <hyperlink ref="C19" r:id="rId18" location="'Stories'!A1" xr:uid="{00000000-0004-0000-0300-000011000000}"/>
    <hyperlink ref="C20" r:id="rId19" location="'Stories'!A1" xr:uid="{00000000-0004-0000-0300-000012000000}"/>
    <hyperlink ref="C21" r:id="rId20" location="'Stories'!A1" xr:uid="{00000000-0004-0000-0300-000013000000}"/>
    <hyperlink ref="C22" r:id="rId21" location="'Stories'!A1" xr:uid="{00000000-0004-0000-0300-000014000000}"/>
    <hyperlink ref="C23" r:id="rId22" location="'Stories'!A1" xr:uid="{00000000-0004-0000-0300-000015000000}"/>
    <hyperlink ref="C24" r:id="rId23" location="'Stories'!A1" xr:uid="{00000000-0004-0000-0300-000016000000}"/>
    <hyperlink ref="C25" r:id="rId24" location="'Stories'!A1" xr:uid="{00000000-0004-0000-0300-000017000000}"/>
    <hyperlink ref="C26" r:id="rId25" location="'Stories'!A1" xr:uid="{00000000-0004-0000-0300-000018000000}"/>
    <hyperlink ref="C27" r:id="rId26" location="'Stories'!A1" xr:uid="{00000000-0004-0000-0300-000019000000}"/>
    <hyperlink ref="C28" r:id="rId27" location="'Stories'!A1" xr:uid="{00000000-0004-0000-0300-00001A000000}"/>
    <hyperlink ref="C29" r:id="rId28" location="'Stories'!A1" xr:uid="{00000000-0004-0000-0300-00001B000000}"/>
    <hyperlink ref="C30" r:id="rId29" location="'Stories'!A1" xr:uid="{00000000-0004-0000-0300-00001C000000}"/>
    <hyperlink ref="C31" r:id="rId30" location="'Stories'!A1" xr:uid="{00000000-0004-0000-0300-00001D000000}"/>
    <hyperlink ref="C32" r:id="rId31" location="'Stories'!A1" xr:uid="{00000000-0004-0000-0300-00001E000000}"/>
    <hyperlink ref="C33" r:id="rId32" location="'Stories'!A1" xr:uid="{00000000-0004-0000-0300-00001F000000}"/>
    <hyperlink ref="C34" r:id="rId33" location="'Stories'!A1" xr:uid="{00000000-0004-0000-0300-000020000000}"/>
    <hyperlink ref="C35" r:id="rId34" location="'Stories'!A1" xr:uid="{00000000-0004-0000-0300-000021000000}"/>
    <hyperlink ref="C36" r:id="rId35" location="'Stories'!A1" xr:uid="{00000000-0004-0000-0300-000022000000}"/>
    <hyperlink ref="C37" r:id="rId36" location="'Stories'!A1" xr:uid="{00000000-0004-0000-0300-000023000000}"/>
    <hyperlink ref="C38" r:id="rId37" location="'Stories'!A1" xr:uid="{00000000-0004-0000-0300-000024000000}"/>
    <hyperlink ref="C39" r:id="rId38" location="'Stories'!A1" xr:uid="{00000000-0004-0000-0300-000025000000}"/>
    <hyperlink ref="C40" r:id="rId39" location="'Stories'!A1" xr:uid="{00000000-0004-0000-0300-000026000000}"/>
    <hyperlink ref="C41" r:id="rId40" location="'Stories'!A1" xr:uid="{00000000-0004-0000-0300-000027000000}"/>
    <hyperlink ref="C42" r:id="rId41" location="'Stories'!A1" xr:uid="{00000000-0004-0000-0300-000028000000}"/>
    <hyperlink ref="C43" r:id="rId42" location="'Stories'!A1" xr:uid="{00000000-0004-0000-0300-000029000000}"/>
    <hyperlink ref="C44" r:id="rId43" location="'Stories'!A1" xr:uid="{00000000-0004-0000-0300-00002A000000}"/>
    <hyperlink ref="C45" r:id="rId44" location="'Stories'!A1" xr:uid="{00000000-0004-0000-0300-00002B000000}"/>
    <hyperlink ref="C46" r:id="rId45" location="'Stories'!A1" xr:uid="{00000000-0004-0000-0300-00002C000000}"/>
    <hyperlink ref="C47" r:id="rId46" location="'Stories'!A1" xr:uid="{00000000-0004-0000-0300-00002D000000}"/>
    <hyperlink ref="C48" r:id="rId47" location="'Stories'!A1" xr:uid="{00000000-0004-0000-0300-00002E000000}"/>
    <hyperlink ref="C49" r:id="rId48" location="'Stories'!A1" xr:uid="{00000000-0004-0000-0300-00002F000000}"/>
    <hyperlink ref="C50" r:id="rId49" location="'Stories'!A1" xr:uid="{00000000-0004-0000-0300-000030000000}"/>
    <hyperlink ref="C51" r:id="rId50" location="'Stories'!A1" xr:uid="{00000000-0004-0000-0300-000031000000}"/>
    <hyperlink ref="C52" r:id="rId51" location="'Stories'!A1" xr:uid="{00000000-0004-0000-0300-000032000000}"/>
    <hyperlink ref="C53" r:id="rId52" location="'Stories'!A1" xr:uid="{00000000-0004-0000-0300-000033000000}"/>
    <hyperlink ref="C54" r:id="rId53" location="'Stories'!A1" xr:uid="{00000000-0004-0000-0300-000034000000}"/>
    <hyperlink ref="C55" r:id="rId54" location="'Stories'!A1" xr:uid="{00000000-0004-0000-0300-000035000000}"/>
    <hyperlink ref="C56" r:id="rId55" location="'Stories'!A1" xr:uid="{00000000-0004-0000-0300-000036000000}"/>
    <hyperlink ref="C57" r:id="rId56" location="'Stories'!A1" xr:uid="{00000000-0004-0000-0300-000037000000}"/>
    <hyperlink ref="C58" r:id="rId57" location="'Stories'!A1" xr:uid="{00000000-0004-0000-0300-000038000000}"/>
  </hyperlinks>
  <pageMargins left="0.75" right="0.75" top="1" bottom="1" header="0.511811023622047" footer="0.511811023622047"/>
  <pageSetup paperSize="9" orientation="portrait" horizontalDpi="300" verticalDpi="300"/>
  <tableParts count="1">
    <tablePart r:id="rId58"/>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29"/>
  <sheetViews>
    <sheetView zoomScaleNormal="100" workbookViewId="0">
      <pane ySplit="1" topLeftCell="A2" activePane="bottomLeft" state="frozen"/>
      <selection pane="bottomLeft"/>
    </sheetView>
  </sheetViews>
  <sheetFormatPr baseColWidth="10" defaultColWidth="8.6640625" defaultRowHeight="15" x14ac:dyDescent="0.2"/>
  <cols>
    <col min="1" max="2" width="10" customWidth="1"/>
    <col min="3" max="3" width="22" customWidth="1"/>
    <col min="4" max="4" width="42" customWidth="1"/>
    <col min="5" max="7" width="13" customWidth="1"/>
    <col min="8" max="8" width="15" customWidth="1"/>
    <col min="9" max="9" width="12" customWidth="1"/>
    <col min="10" max="10" width="16" customWidth="1"/>
    <col min="11" max="11" width="20" customWidth="1"/>
    <col min="12" max="12" width="12" customWidth="1"/>
    <col min="13" max="13" width="18" customWidth="1"/>
  </cols>
  <sheetData>
    <row r="1" spans="1:13" ht="30" customHeight="1" x14ac:dyDescent="0.2">
      <c r="A1" s="4" t="s">
        <v>316</v>
      </c>
      <c r="B1" s="4" t="s">
        <v>317</v>
      </c>
      <c r="C1" s="4" t="s">
        <v>318</v>
      </c>
      <c r="D1" s="4" t="s">
        <v>319</v>
      </c>
      <c r="E1" s="4" t="s">
        <v>5</v>
      </c>
      <c r="F1" s="4" t="s">
        <v>320</v>
      </c>
      <c r="G1" s="4" t="s">
        <v>321</v>
      </c>
      <c r="H1" s="4" t="s">
        <v>116</v>
      </c>
      <c r="I1" s="4" t="s">
        <v>9</v>
      </c>
      <c r="J1" s="4" t="s">
        <v>10</v>
      </c>
      <c r="K1" s="4" t="s">
        <v>322</v>
      </c>
      <c r="L1" s="4" t="s">
        <v>323</v>
      </c>
      <c r="M1" s="4" t="s">
        <v>324</v>
      </c>
    </row>
    <row r="2" spans="1:13" ht="34.5" customHeight="1" x14ac:dyDescent="0.2">
      <c r="A2" s="10" t="s">
        <v>325</v>
      </c>
      <c r="B2" s="5" t="s">
        <v>326</v>
      </c>
      <c r="C2" s="11" t="s">
        <v>14</v>
      </c>
      <c r="D2" s="11" t="s">
        <v>327</v>
      </c>
      <c r="E2" s="12"/>
      <c r="F2" s="12"/>
      <c r="G2" s="5">
        <v>18</v>
      </c>
      <c r="H2" s="5">
        <f>COUNTIFS(Stories!$B$2:B$200,A2,Stories!$L$2:L$200,"*Done*")</f>
        <v>18</v>
      </c>
      <c r="I2" s="6">
        <f>IFERROR(AVERAGEIFS(Stories!$O$2:O$200,Stories!$B$2:B$200,A2),0)/100</f>
        <v>1</v>
      </c>
      <c r="J2" s="5" t="str">
        <f>IF(COUNTIFS(Stories!$B$2:B$200,A2,Stories!$L$2:L$200,"*Blocked*")&gt;0,"🚫 Blocked",IF(I2=1,"✅ Completed",IF(I2&gt;0,"🔄 In Progress","⏳ Planned")))</f>
        <v>✅ Completed</v>
      </c>
      <c r="K2" s="5" t="str">
        <f t="array" ref="K2">_xlfn.TEXTJOIN(", ",TRUE(),IF(Sprint_Epics!$A$2:$A$200=A2,Sprint_Epics!$C$2:$C$200,""))</f>
        <v>ML1</v>
      </c>
      <c r="L2" s="5" t="str">
        <f t="array" ref="L2">_xlfn.TEXTJOIN(", ",TRUE(),IF(Sprint_Epics!$A$2:$A$200=A2,IFERROR(INDEX(Milestones!$C$2:$C$25,MATCH(Sprint_Epics!$C$2:$C$200,Milestones!$B$2:$B$25,0)),""),""))</f>
        <v>PH1</v>
      </c>
      <c r="M2" s="5"/>
    </row>
    <row r="3" spans="1:13" ht="23.25" customHeight="1" x14ac:dyDescent="0.2">
      <c r="A3" s="10" t="s">
        <v>328</v>
      </c>
      <c r="B3" s="5" t="s">
        <v>329</v>
      </c>
      <c r="C3" s="11" t="s">
        <v>330</v>
      </c>
      <c r="D3" s="11" t="s">
        <v>331</v>
      </c>
      <c r="E3" s="12"/>
      <c r="F3" s="12"/>
      <c r="G3" s="5">
        <v>7</v>
      </c>
      <c r="H3" s="5">
        <f>COUNTIFS(Stories!$B$2:$B$500,A3,Stories!$L$2:$L$500,"*Done*")</f>
        <v>0</v>
      </c>
      <c r="I3" s="6">
        <f>IFERROR(AVERAGEIFS(Stories!$O$2:$O$500,Stories!$B$2:$B$500,A3),0)/100</f>
        <v>0</v>
      </c>
      <c r="J3" s="5" t="str">
        <f>IF(COUNTIFS(Stories!$B$2:$B$500,A3,Stories!$L$2:$L$500,"*Blocked*")&gt;0,"🚫 Blocked",IF(I3=1,"✅ Completed",IF(I3&gt;0,"🔄 In Progress","⏳ Planned")))</f>
        <v>⏳ Planned</v>
      </c>
      <c r="K3" s="5" t="str">
        <f t="array" ref="K3">_xlfn.TEXTJOIN(", ",TRUE(),IF(Sprint_Epics!$A$2:$A$500=A3,Sprint_Epics!$C$2:$C$500,""))</f>
        <v>ML2, ML2, ML14, ML15</v>
      </c>
      <c r="L3" s="5" t="str">
        <f t="array" ref="L3">_xlfn.TEXTJOIN(", ",TRUE(),IF(Sprint_Epics!$A$2:$A$500=A3,IFERROR(INDEX(Milestones!$C$2:$C$25,MATCH(Sprint_Epics!$C$2:$C$500,Milestones!$B$2:$B$25,0)),""),""))</f>
        <v>PH1, PH1, PH1, PH1</v>
      </c>
    </row>
    <row r="4" spans="1:13" ht="23.25" customHeight="1" x14ac:dyDescent="0.2">
      <c r="A4" s="10" t="s">
        <v>332</v>
      </c>
      <c r="B4" s="5" t="s">
        <v>333</v>
      </c>
      <c r="C4" s="11" t="s">
        <v>334</v>
      </c>
      <c r="D4" s="11" t="s">
        <v>335</v>
      </c>
      <c r="E4" s="12"/>
      <c r="F4" s="12"/>
      <c r="G4" s="5">
        <v>4</v>
      </c>
      <c r="H4" s="5">
        <f>COUNTIFS(Stories!$B$2:$B$500,A4,Stories!$L$2:$L$500,"*Done*")</f>
        <v>0</v>
      </c>
      <c r="I4" s="6">
        <f>IFERROR(AVERAGEIFS(Stories!$O$2:$O$500,Stories!$B$2:$B$500,A4),0)/100</f>
        <v>0</v>
      </c>
      <c r="J4" s="5" t="str">
        <f>IF(COUNTIFS(Stories!$B$2:$B$500,A4,Stories!$L$2:$L$500,"*Blocked*")&gt;0,"🚫 Blocked",IF(I4=1,"✅ Completed",IF(I4&gt;0,"🔄 In Progress","⏳ Planned")))</f>
        <v>⏳ Planned</v>
      </c>
      <c r="K4" s="5" t="str">
        <f t="array" ref="K4">_xlfn.TEXTJOIN(", ",TRUE(),IF(Sprint_Epics!$A$2:$A$500=A4,Sprint_Epics!$C$2:$C$500,""))</f>
        <v>ML2, ML2, ML16</v>
      </c>
      <c r="L4" s="5" t="str">
        <f t="array" ref="L4">_xlfn.TEXTJOIN(", ",TRUE(),IF(Sprint_Epics!$A$2:$A$500=A4,IFERROR(INDEX(Milestones!$C$2:$C$25,MATCH(Sprint_Epics!$C$2:$C$500,Milestones!$B$2:$B$25,0)),""),""))</f>
        <v>PH1, PH1, PH1</v>
      </c>
    </row>
    <row r="5" spans="1:13" ht="23.25" customHeight="1" x14ac:dyDescent="0.2">
      <c r="A5" s="10" t="s">
        <v>336</v>
      </c>
      <c r="B5" s="5" t="s">
        <v>337</v>
      </c>
      <c r="C5" s="11" t="s">
        <v>338</v>
      </c>
      <c r="D5" s="11" t="s">
        <v>339</v>
      </c>
      <c r="E5" s="12"/>
      <c r="F5" s="12"/>
      <c r="G5" s="5">
        <v>4</v>
      </c>
      <c r="H5" s="5">
        <f>COUNTIFS(Stories!$B$2:$B$500,A5,Stories!$L$2:$L$500,"*Done*")</f>
        <v>0</v>
      </c>
      <c r="I5" s="6">
        <f>IFERROR(AVERAGEIFS(Stories!$O$2:$O$500,Stories!$B$2:$B$500,A5),0)/100</f>
        <v>0</v>
      </c>
      <c r="J5" s="5" t="str">
        <f>IF(COUNTIFS(Stories!$B$2:$B$500,A5,Stories!$L$2:$L$500,"*Blocked*")&gt;0,"🚫 Blocked",IF(I5=1,"✅ Completed",IF(I5&gt;0,"🔄 In Progress","⏳ Planned")))</f>
        <v>⏳ Planned</v>
      </c>
      <c r="K5" s="5" t="str">
        <f t="array" ref="K5">_xlfn.TEXTJOIN(", ",TRUE(),IF(Sprint_Epics!$A$2:$A$500=A5,Sprint_Epics!$C$2:$C$500,""))</f>
        <v>ML2, ML3, ML16</v>
      </c>
      <c r="L5" s="5" t="str">
        <f t="array" ref="L5">_xlfn.TEXTJOIN(", ",TRUE(),IF(Sprint_Epics!$A$2:$A$500=A5,IFERROR(INDEX(Milestones!$C$2:$C$25,MATCH(Sprint_Epics!$C$2:$C$500,Milestones!$B$2:$B$25,0)),""),""))</f>
        <v>PH1, PH1, PH1</v>
      </c>
    </row>
    <row r="6" spans="1:13" ht="23.25" customHeight="1" x14ac:dyDescent="0.2">
      <c r="A6" s="10" t="s">
        <v>340</v>
      </c>
      <c r="B6" s="5" t="s">
        <v>341</v>
      </c>
      <c r="C6" s="11" t="s">
        <v>342</v>
      </c>
      <c r="D6" s="11" t="s">
        <v>343</v>
      </c>
      <c r="E6" s="12"/>
      <c r="F6" s="12"/>
      <c r="G6" s="5">
        <v>4</v>
      </c>
      <c r="H6" s="5">
        <f>COUNTIFS(Stories!$B$2:$B$500,A6,Stories!$L$2:$L$500,"*Done*")</f>
        <v>0</v>
      </c>
      <c r="I6" s="6">
        <f>IFERROR(AVERAGEIFS(Stories!$O$2:$O$500,Stories!$B$2:$B$500,A6),0)/100</f>
        <v>0</v>
      </c>
      <c r="J6" s="5" t="str">
        <f>IF(COUNTIFS(Stories!$B$2:$B$500,A6,Stories!$L$2:$L$500,"*Blocked*")&gt;0,"🚫 Blocked",IF(I6=1,"✅ Completed",IF(I6&gt;0,"🔄 In Progress","⏳ Planned")))</f>
        <v>⏳ Planned</v>
      </c>
      <c r="K6" s="5" t="str">
        <f t="array" ref="K6">_xlfn.TEXTJOIN(", ",TRUE(),IF(Sprint_Epics!$A$2:$A$500=A6,Sprint_Epics!$C$2:$C$500,""))</f>
        <v>ML3, ML16</v>
      </c>
      <c r="L6" s="5" t="str">
        <f t="array" ref="L6">_xlfn.TEXTJOIN(", ",TRUE(),IF(Sprint_Epics!$A$2:$A$500=A6,IFERROR(INDEX(Milestones!$C$2:$C$25,MATCH(Sprint_Epics!$C$2:$C$500,Milestones!$B$2:$B$25,0)),""),""))</f>
        <v>PH1, PH1</v>
      </c>
    </row>
    <row r="7" spans="1:13" ht="23.25" customHeight="1" x14ac:dyDescent="0.2">
      <c r="A7" s="10" t="s">
        <v>344</v>
      </c>
      <c r="B7" s="5" t="s">
        <v>345</v>
      </c>
      <c r="C7" s="11" t="s">
        <v>25</v>
      </c>
      <c r="D7" s="11" t="s">
        <v>346</v>
      </c>
      <c r="E7" s="12"/>
      <c r="F7" s="12"/>
      <c r="G7" s="5">
        <v>4</v>
      </c>
      <c r="H7" s="5">
        <f>COUNTIFS(Stories!$B$2:$B$500,A7,Stories!$L$2:$L$500,"*Done*")</f>
        <v>0</v>
      </c>
      <c r="I7" s="6">
        <f>IFERROR(AVERAGEIFS(Stories!$O$2:$O$500,Stories!$B$2:$B$500,A7),0)/100</f>
        <v>0</v>
      </c>
      <c r="J7" s="5" t="str">
        <f>IF(COUNTIFS(Stories!$B$2:$B$500,A7,Stories!$L$2:$L$500,"*Blocked*")&gt;0,"🚫 Blocked",IF(I7=1,"✅ Completed",IF(I7&gt;0,"🔄 In Progress","⏳ Planned")))</f>
        <v>⏳ Planned</v>
      </c>
      <c r="K7" s="5" t="str">
        <f t="array" ref="K7">_xlfn.TEXTJOIN(", ",TRUE(),IF(Sprint_Epics!$A$2:$A$500=A7,Sprint_Epics!$C$2:$C$500,""))</f>
        <v>ML4, ML16</v>
      </c>
      <c r="L7" s="5" t="str">
        <f t="array" ref="L7">_xlfn.TEXTJOIN(", ",TRUE(),IF(Sprint_Epics!$A$2:$A$500=A7,IFERROR(INDEX(Milestones!$C$2:$C$25,MATCH(Sprint_Epics!$C$2:$C$500,Milestones!$B$2:$B$25,0)),""),""))</f>
        <v>PH1, PH1</v>
      </c>
    </row>
    <row r="8" spans="1:13" ht="23.25" customHeight="1" x14ac:dyDescent="0.2">
      <c r="A8" s="10" t="s">
        <v>347</v>
      </c>
      <c r="B8" s="5" t="s">
        <v>348</v>
      </c>
      <c r="C8" s="11" t="s">
        <v>349</v>
      </c>
      <c r="D8" s="11" t="s">
        <v>350</v>
      </c>
      <c r="E8" s="12"/>
      <c r="F8" s="12"/>
      <c r="G8" s="5">
        <v>4</v>
      </c>
      <c r="H8" s="5">
        <f>COUNTIFS(Stories!$B$2:$B$500,A8,Stories!$L$2:$L$500,"*Done*")</f>
        <v>0</v>
      </c>
      <c r="I8" s="6">
        <f>IFERROR(AVERAGEIFS(Stories!$O$2:$O$500,Stories!$B$2:$B$500,A8),0)/100</f>
        <v>0</v>
      </c>
      <c r="J8" s="5" t="str">
        <f>IF(COUNTIFS(Stories!$B$2:$B$500,A8,Stories!$L$2:$L$500,"*Blocked*")&gt;0,"🚫 Blocked",IF(I8=1,"✅ Completed",IF(I8&gt;0,"🔄 In Progress","⏳ Planned")))</f>
        <v>⏳ Planned</v>
      </c>
      <c r="K8" s="5" t="str">
        <f t="array" ref="K8">_xlfn.TEXTJOIN(", ",TRUE(),IF(Sprint_Epics!$A$2:$A$500=A8,Sprint_Epics!$C$2:$C$500,""))</f>
        <v>ML4, ML16</v>
      </c>
      <c r="L8" s="5" t="str">
        <f t="array" ref="L8">_xlfn.TEXTJOIN(", ",TRUE(),IF(Sprint_Epics!$A$2:$A$500=A8,IFERROR(INDEX(Milestones!$C$2:$C$25,MATCH(Sprint_Epics!$C$2:$C$500,Milestones!$B$2:$B$25,0)),""),""))</f>
        <v>PH1, PH1</v>
      </c>
    </row>
    <row r="9" spans="1:13" ht="15" customHeight="1" x14ac:dyDescent="0.2">
      <c r="A9" s="10" t="s">
        <v>351</v>
      </c>
      <c r="B9" s="5" t="s">
        <v>352</v>
      </c>
      <c r="C9" s="11" t="s">
        <v>353</v>
      </c>
      <c r="D9" s="11" t="s">
        <v>354</v>
      </c>
      <c r="E9" s="12"/>
      <c r="F9" s="12"/>
      <c r="G9" s="5">
        <v>4</v>
      </c>
      <c r="H9" s="5">
        <f>COUNTIFS(Stories!$B$2:$B$500,A9,Stories!$L$2:$L$500,"*Done*")</f>
        <v>0</v>
      </c>
      <c r="I9" s="6">
        <f>IFERROR(AVERAGEIFS(Stories!$O$2:$O$500,Stories!$B$2:$B$500,A9),0)/100</f>
        <v>0</v>
      </c>
      <c r="J9" s="5" t="str">
        <f>IF(COUNTIFS(Stories!$B$2:$B$500,A9,Stories!$L$2:$L$500,"*Blocked*")&gt;0,"🚫 Blocked",IF(I9=1,"✅ Completed",IF(I9&gt;0,"🔄 In Progress","⏳ Planned")))</f>
        <v>⏳ Planned</v>
      </c>
      <c r="K9" s="5" t="str">
        <f t="array" ref="K9">_xlfn.TEXTJOIN(", ",TRUE(),IF(Sprint_Epics!$A$2:$A$500=A9,Sprint_Epics!$C$2:$C$500,""))</f>
        <v>ML5, ML16</v>
      </c>
      <c r="L9" s="5" t="str">
        <f t="array" ref="L9">_xlfn.TEXTJOIN(", ",TRUE(),IF(Sprint_Epics!$A$2:$A$500=A9,IFERROR(INDEX(Milestones!$C$2:$C$25,MATCH(Sprint_Epics!$C$2:$C$500,Milestones!$B$2:$B$25,0)),""),""))</f>
        <v>PH1, PH1</v>
      </c>
    </row>
    <row r="10" spans="1:13" ht="15" customHeight="1" x14ac:dyDescent="0.2">
      <c r="A10" s="10" t="s">
        <v>355</v>
      </c>
      <c r="B10" s="5" t="s">
        <v>356</v>
      </c>
      <c r="C10" s="11" t="s">
        <v>357</v>
      </c>
      <c r="D10" s="11" t="s">
        <v>358</v>
      </c>
      <c r="E10" s="12"/>
      <c r="F10" s="12"/>
      <c r="G10" s="5">
        <v>4</v>
      </c>
      <c r="H10" s="5">
        <f>COUNTIFS(Stories!$B$2:$B$500,A10,Stories!$L$2:$L$500,"*Done*")</f>
        <v>0</v>
      </c>
      <c r="I10" s="6">
        <f>IFERROR(AVERAGEIFS(Stories!$O$2:$O$500,Stories!$B$2:$B$500,A10),0)/100</f>
        <v>0</v>
      </c>
      <c r="J10" s="5" t="str">
        <f>IF(COUNTIFS(Stories!$B$2:$B$500,A10,Stories!$L$2:$L$500,"*Blocked*")&gt;0,"🚫 Blocked",IF(I10=1,"✅ Completed",IF(I10&gt;0,"🔄 In Progress","⏳ Planned")))</f>
        <v>⏳ Planned</v>
      </c>
      <c r="K10" s="5" t="str">
        <f t="array" ref="K10">_xlfn.TEXTJOIN(", ",TRUE(),IF(Sprint_Epics!$A$2:$A$500=A10,Sprint_Epics!$C$2:$C$500,""))</f>
        <v>ML5, ML5, ML13</v>
      </c>
      <c r="L10" s="5" t="str">
        <f t="array" ref="L10">_xlfn.TEXTJOIN(", ",TRUE(),IF(Sprint_Epics!$A$2:$A$500=A10,IFERROR(INDEX(Milestones!$C$2:$C$25,MATCH(Sprint_Epics!$C$2:$C$500,Milestones!$B$2:$B$25,0)),""),""))</f>
        <v>PH1, PH1, PH1</v>
      </c>
    </row>
    <row r="11" spans="1:13" ht="23.25" customHeight="1" x14ac:dyDescent="0.2">
      <c r="A11" s="10" t="s">
        <v>359</v>
      </c>
      <c r="B11" s="5" t="s">
        <v>360</v>
      </c>
      <c r="C11" s="11" t="s">
        <v>361</v>
      </c>
      <c r="D11" s="11" t="s">
        <v>362</v>
      </c>
      <c r="E11" s="12"/>
      <c r="F11" s="12"/>
      <c r="G11" s="5">
        <v>5</v>
      </c>
      <c r="H11" s="5">
        <f>COUNTIFS(Stories!$B$2:$B$500,A11,Stories!$L$2:$L$500,"*Done*")</f>
        <v>0</v>
      </c>
      <c r="I11" s="6">
        <f>IFERROR(AVERAGEIFS(Stories!$O$2:$O$500,Stories!$B$2:$B$500,A11),0)/100</f>
        <v>0</v>
      </c>
      <c r="J11" s="5" t="str">
        <f>IF(COUNTIFS(Stories!$B$2:$B$500,A11,Stories!$L$2:$L$500,"*Blocked*")&gt;0,"🚫 Blocked",IF(I11=1,"✅ Completed",IF(I11&gt;0,"🔄 In Progress","⏳ Planned")))</f>
        <v>⏳ Planned</v>
      </c>
      <c r="K11" s="5" t="str">
        <f t="array" ref="K11">_xlfn.TEXTJOIN(", ",TRUE(),IF(Sprint_Epics!$A$2:$A$500=A11,Sprint_Epics!$C$2:$C$500,""))</f>
        <v>ML6, ML6, ML18, ML18, ML16</v>
      </c>
      <c r="L11" s="5" t="str">
        <f t="array" ref="L11">_xlfn.TEXTJOIN(", ",TRUE(),IF(Sprint_Epics!$A$2:$A$500=A11,IFERROR(INDEX(Milestones!$C$2:$C$25,MATCH(Sprint_Epics!$C$2:$C$500,Milestones!$B$2:$B$25,0)),""),""))</f>
        <v>PH1, PH1, PH1, PH1, PH1</v>
      </c>
    </row>
    <row r="12" spans="1:13" ht="23.25" customHeight="1" x14ac:dyDescent="0.2">
      <c r="A12" s="10" t="s">
        <v>363</v>
      </c>
      <c r="B12" s="5" t="s">
        <v>364</v>
      </c>
      <c r="C12" s="11" t="s">
        <v>365</v>
      </c>
      <c r="D12" s="11" t="s">
        <v>366</v>
      </c>
      <c r="E12" s="12"/>
      <c r="F12" s="12"/>
      <c r="G12" s="5">
        <v>4</v>
      </c>
      <c r="H12" s="5">
        <f>COUNTIFS(Stories!$B$2:$B$500,A12,Stories!$L$2:$L$500,"*Done*")</f>
        <v>0</v>
      </c>
      <c r="I12" s="6">
        <f>IFERROR(AVERAGEIFS(Stories!$O$2:$O$500,Stories!$B$2:$B$500,A12),0)/100</f>
        <v>0</v>
      </c>
      <c r="J12" s="5" t="str">
        <f>IF(COUNTIFS(Stories!$B$2:$B$500,A12,Stories!$L$2:$L$500,"*Blocked*")&gt;0,"🚫 Blocked",IF(I12=1,"✅ Completed",IF(I12&gt;0,"🔄 In Progress","⏳ Planned")))</f>
        <v>⏳ Planned</v>
      </c>
      <c r="K12" s="5" t="str">
        <f t="array" ref="K12">_xlfn.TEXTJOIN(", ",TRUE(),IF(Sprint_Epics!$A$2:$A$500=A12,Sprint_Epics!$C$2:$C$500,""))</f>
        <v>ML6, ML6, ML16</v>
      </c>
      <c r="L12" s="5" t="str">
        <f t="array" ref="L12">_xlfn.TEXTJOIN(", ",TRUE(),IF(Sprint_Epics!$A$2:$A$500=A12,IFERROR(INDEX(Milestones!$C$2:$C$25,MATCH(Sprint_Epics!$C$2:$C$500,Milestones!$B$2:$B$25,0)),""),""))</f>
        <v>PH1, PH1, PH1</v>
      </c>
    </row>
    <row r="13" spans="1:13" ht="23.25" customHeight="1" x14ac:dyDescent="0.2">
      <c r="A13" s="10" t="s">
        <v>367</v>
      </c>
      <c r="B13" s="5" t="s">
        <v>368</v>
      </c>
      <c r="C13" s="11" t="s">
        <v>369</v>
      </c>
      <c r="D13" s="11" t="s">
        <v>370</v>
      </c>
      <c r="E13" s="12"/>
      <c r="F13" s="12"/>
      <c r="G13" s="5">
        <v>4</v>
      </c>
      <c r="H13" s="5">
        <f>COUNTIFS(Stories!$B$2:$B$500,A13,Stories!$L$2:$L$500,"*Done*")</f>
        <v>0</v>
      </c>
      <c r="I13" s="6">
        <f>IFERROR(AVERAGEIFS(Stories!$O$2:$O$500,Stories!$B$2:$B$500,A13),0)/100</f>
        <v>0</v>
      </c>
      <c r="J13" s="5" t="str">
        <f>IF(COUNTIFS(Stories!$B$2:$B$500,A13,Stories!$L$2:$L$500,"*Blocked*")&gt;0,"🚫 Blocked",IF(I13=1,"✅ Completed",IF(I13&gt;0,"🔄 In Progress","⏳ Planned")))</f>
        <v>⏳ Planned</v>
      </c>
      <c r="K13" s="5" t="str">
        <f t="array" ref="K13">_xlfn.TEXTJOIN(", ",TRUE(),IF(Sprint_Epics!$A$2:$A$500=A13,Sprint_Epics!$C$2:$C$500,""))</f>
        <v>ML7, ML7, ML16</v>
      </c>
      <c r="L13" s="5" t="str">
        <f t="array" ref="L13">_xlfn.TEXTJOIN(", ",TRUE(),IF(Sprint_Epics!$A$2:$A$500=A13,IFERROR(INDEX(Milestones!$C$2:$C$25,MATCH(Sprint_Epics!$C$2:$C$500,Milestones!$B$2:$B$25,0)),""),""))</f>
        <v>PH1, PH1, PH1</v>
      </c>
    </row>
    <row r="14" spans="1:13" ht="23.25" customHeight="1" x14ac:dyDescent="0.2">
      <c r="A14" s="10" t="s">
        <v>371</v>
      </c>
      <c r="B14" s="5" t="s">
        <v>372</v>
      </c>
      <c r="C14" s="11" t="s">
        <v>192</v>
      </c>
      <c r="D14" s="11" t="s">
        <v>373</v>
      </c>
      <c r="E14" s="12"/>
      <c r="F14" s="12"/>
      <c r="G14" s="5">
        <v>4</v>
      </c>
      <c r="H14" s="5">
        <f>COUNTIFS(Stories!$B$2:$B$500,A14,Stories!$L$2:$L$500,"*Done*")</f>
        <v>0</v>
      </c>
      <c r="I14" s="6">
        <f>IFERROR(AVERAGEIFS(Stories!$O$2:$O$500,Stories!$B$2:$B$500,A14),0)/100</f>
        <v>0</v>
      </c>
      <c r="J14" s="5" t="str">
        <f>IF(COUNTIFS(Stories!$B$2:$B$500,A14,Stories!$L$2:$L$500,"*Blocked*")&gt;0,"🚫 Blocked",IF(I14=1,"✅ Completed",IF(I14&gt;0,"🔄 In Progress","⏳ Planned")))</f>
        <v>⏳ Planned</v>
      </c>
      <c r="K14" s="5" t="str">
        <f t="array" ref="K14">_xlfn.TEXTJOIN(", ",TRUE(),IF(Sprint_Epics!$A$2:$A$500=A14,Sprint_Epics!$C$2:$C$500,""))</f>
        <v>ML7, ML16</v>
      </c>
      <c r="L14" s="5" t="str">
        <f t="array" ref="L14">_xlfn.TEXTJOIN(", ",TRUE(),IF(Sprint_Epics!$A$2:$A$500=A14,IFERROR(INDEX(Milestones!$C$2:$C$25,MATCH(Sprint_Epics!$C$2:$C$500,Milestones!$B$2:$B$25,0)),""),""))</f>
        <v>PH1, PH1</v>
      </c>
    </row>
    <row r="15" spans="1:13" ht="23.25" customHeight="1" x14ac:dyDescent="0.2">
      <c r="A15" s="10" t="s">
        <v>374</v>
      </c>
      <c r="B15" s="5" t="s">
        <v>375</v>
      </c>
      <c r="C15" s="11" t="s">
        <v>376</v>
      </c>
      <c r="D15" s="11" t="s">
        <v>377</v>
      </c>
      <c r="E15" s="12"/>
      <c r="F15" s="12"/>
      <c r="G15" s="5">
        <v>4</v>
      </c>
      <c r="H15" s="5">
        <f>COUNTIFS(Stories!$B$2:$B$500,A15,Stories!$L$2:$L$500,"*Done*")</f>
        <v>0</v>
      </c>
      <c r="I15" s="6">
        <f>IFERROR(AVERAGEIFS(Stories!$O$2:$O$500,Stories!$B$2:$B$500,A15),0)/100</f>
        <v>0</v>
      </c>
      <c r="J15" s="5" t="str">
        <f>IF(COUNTIFS(Stories!$B$2:$B$500,A15,Stories!$L$2:$L$500,"*Blocked*")&gt;0,"🚫 Blocked",IF(I15=1,"✅ Completed",IF(I15&gt;0,"🔄 In Progress","⏳ Planned")))</f>
        <v>⏳ Planned</v>
      </c>
      <c r="K15" s="5" t="str">
        <f t="array" ref="K15">_xlfn.TEXTJOIN(", ",TRUE(),IF(Sprint_Epics!$A$2:$A$500=A15,Sprint_Epics!$C$2:$C$500,""))</f>
        <v>ML8, ML17</v>
      </c>
      <c r="L15" s="5" t="str">
        <f t="array" ref="L15">_xlfn.TEXTJOIN(", ",TRUE(),IF(Sprint_Epics!$A$2:$A$500=A15,IFERROR(INDEX(Milestones!$C$2:$C$25,MATCH(Sprint_Epics!$C$2:$C$500,Milestones!$B$2:$B$25,0)),""),""))</f>
        <v>PH1, PH1</v>
      </c>
    </row>
    <row r="16" spans="1:13" ht="23.25" customHeight="1" x14ac:dyDescent="0.2">
      <c r="A16" s="10" t="s">
        <v>378</v>
      </c>
      <c r="B16" s="5" t="s">
        <v>379</v>
      </c>
      <c r="C16" s="11" t="s">
        <v>380</v>
      </c>
      <c r="D16" s="11" t="s">
        <v>381</v>
      </c>
      <c r="E16" s="12"/>
      <c r="F16" s="12"/>
      <c r="G16" s="5">
        <v>4</v>
      </c>
      <c r="H16" s="5">
        <f>COUNTIFS(Stories!$B$2:$B$500,A16,Stories!$L$2:$L$500,"*Done*")</f>
        <v>0</v>
      </c>
      <c r="I16" s="6">
        <f>IFERROR(AVERAGEIFS(Stories!$O$2:$O$500,Stories!$B$2:$B$500,A16),0)/100</f>
        <v>0</v>
      </c>
      <c r="J16" s="5" t="str">
        <f>IF(COUNTIFS(Stories!$B$2:$B$500,A16,Stories!$L$2:$L$500,"*Blocked*")&gt;0,"🚫 Blocked",IF(I16=1,"✅ Completed",IF(I16&gt;0,"🔄 In Progress","⏳ Planned")))</f>
        <v>⏳ Planned</v>
      </c>
      <c r="K16" s="5" t="str">
        <f t="array" ref="K16">_xlfn.TEXTJOIN(", ",TRUE(),IF(Sprint_Epics!$A$2:$A$500=A16,Sprint_Epics!$C$2:$C$500,""))</f>
        <v>ML8, ML17</v>
      </c>
      <c r="L16" s="5" t="str">
        <f t="array" ref="L16">_xlfn.TEXTJOIN(", ",TRUE(),IF(Sprint_Epics!$A$2:$A$500=A16,IFERROR(INDEX(Milestones!$C$2:$C$25,MATCH(Sprint_Epics!$C$2:$C$500,Milestones!$B$2:$B$25,0)),""),""))</f>
        <v>PH1, PH1</v>
      </c>
    </row>
    <row r="17" spans="1:12" ht="23.25" customHeight="1" x14ac:dyDescent="0.2">
      <c r="A17" s="10" t="s">
        <v>382</v>
      </c>
      <c r="B17" s="5" t="s">
        <v>383</v>
      </c>
      <c r="C17" s="11" t="s">
        <v>207</v>
      </c>
      <c r="D17" s="11" t="s">
        <v>384</v>
      </c>
      <c r="E17" s="12"/>
      <c r="F17" s="12"/>
      <c r="G17" s="5">
        <v>4</v>
      </c>
      <c r="H17" s="5">
        <f>COUNTIFS(Stories!$B$2:$B$500,A17,Stories!$L$2:$L$500,"*Done*")</f>
        <v>0</v>
      </c>
      <c r="I17" s="6">
        <f>IFERROR(AVERAGEIFS(Stories!$O$2:$O$500,Stories!$B$2:$B$500,A17),0)/100</f>
        <v>0</v>
      </c>
      <c r="J17" s="5" t="str">
        <f>IF(COUNTIFS(Stories!$B$2:$B$500,A17,Stories!$L$2:$L$500,"*Blocked*")&gt;0,"🚫 Blocked",IF(I17=1,"✅ Completed",IF(I17&gt;0,"🔄 In Progress","⏳ Planned")))</f>
        <v>⏳ Planned</v>
      </c>
      <c r="K17" s="5" t="str">
        <f t="array" ref="K17">_xlfn.TEXTJOIN(", ",TRUE(),IF(Sprint_Epics!$A$2:$A$500=A17,Sprint_Epics!$C$2:$C$500,""))</f>
        <v>ML9, ML9</v>
      </c>
      <c r="L17" s="5" t="str">
        <f t="array" ref="L17">_xlfn.TEXTJOIN(", ",TRUE(),IF(Sprint_Epics!$A$2:$A$500=A17,IFERROR(INDEX(Milestones!$C$2:$C$25,MATCH(Sprint_Epics!$C$2:$C$500,Milestones!$B$2:$B$25,0)),""),""))</f>
        <v>PH1, PH1</v>
      </c>
    </row>
    <row r="18" spans="1:12" ht="23.25" customHeight="1" x14ac:dyDescent="0.2">
      <c r="A18" s="10" t="s">
        <v>385</v>
      </c>
      <c r="B18" s="5" t="s">
        <v>386</v>
      </c>
      <c r="C18" s="11" t="s">
        <v>210</v>
      </c>
      <c r="D18" s="11" t="s">
        <v>387</v>
      </c>
      <c r="E18" s="12"/>
      <c r="F18" s="12"/>
      <c r="G18" s="5">
        <v>4</v>
      </c>
      <c r="H18" s="5">
        <f>COUNTIFS(Stories!$B$2:$B$500,A18,Stories!$L$2:$L$500,"*Done*")</f>
        <v>0</v>
      </c>
      <c r="I18" s="6">
        <f>IFERROR(AVERAGEIFS(Stories!$O$2:$O$500,Stories!$B$2:$B$500,A18),0)/100</f>
        <v>0</v>
      </c>
      <c r="J18" s="5" t="str">
        <f>IF(COUNTIFS(Stories!$B$2:$B$500,A18,Stories!$L$2:$L$500,"*Blocked*")&gt;0,"🚫 Blocked",IF(I18=1,"✅ Completed",IF(I18&gt;0,"🔄 In Progress","⏳ Planned")))</f>
        <v>⏳ Planned</v>
      </c>
      <c r="K18" s="5" t="str">
        <f t="array" ref="K18">_xlfn.TEXTJOIN(", ",TRUE(),IF(Sprint_Epics!$A$2:$A$500=A18,Sprint_Epics!$C$2:$C$500,""))</f>
        <v>ML9, ML9</v>
      </c>
      <c r="L18" s="5" t="str">
        <f t="array" ref="L18">_xlfn.TEXTJOIN(", ",TRUE(),IF(Sprint_Epics!$A$2:$A$500=A18,IFERROR(INDEX(Milestones!$C$2:$C$25,MATCH(Sprint_Epics!$C$2:$C$500,Milestones!$B$2:$B$25,0)),""),""))</f>
        <v>PH1, PH1</v>
      </c>
    </row>
    <row r="19" spans="1:12" ht="23.25" customHeight="1" x14ac:dyDescent="0.2">
      <c r="A19" s="10" t="s">
        <v>388</v>
      </c>
      <c r="B19" s="5" t="s">
        <v>389</v>
      </c>
      <c r="C19" s="11" t="s">
        <v>390</v>
      </c>
      <c r="D19" s="11" t="s">
        <v>391</v>
      </c>
      <c r="E19" s="12"/>
      <c r="F19" s="12"/>
      <c r="G19" s="5">
        <v>4</v>
      </c>
      <c r="H19" s="5">
        <f>COUNTIFS(Stories!$B$2:$B$500,A19,Stories!$L$2:$L$500,"*Done*")</f>
        <v>0</v>
      </c>
      <c r="I19" s="6">
        <f>IFERROR(AVERAGEIFS(Stories!$O$2:$O$500,Stories!$B$2:$B$500,A19),0)/100</f>
        <v>0</v>
      </c>
      <c r="J19" s="5" t="str">
        <f>IF(COUNTIFS(Stories!$B$2:$B$500,A19,Stories!$L$2:$L$500,"*Blocked*")&gt;0,"🚫 Blocked",IF(I19=1,"✅ Completed",IF(I19&gt;0,"🔄 In Progress","⏳ Planned")))</f>
        <v>⏳ Planned</v>
      </c>
      <c r="K19" s="5" t="str">
        <f t="array" ref="K19">_xlfn.TEXTJOIN(", ",TRUE(),IF(Sprint_Epics!$A$2:$A$500=A19,Sprint_Epics!$C$2:$C$500,""))</f>
        <v>ML9, ML9</v>
      </c>
      <c r="L19" s="5" t="str">
        <f t="array" ref="L19">_xlfn.TEXTJOIN(", ",TRUE(),IF(Sprint_Epics!$A$2:$A$500=A19,IFERROR(INDEX(Milestones!$C$2:$C$25,MATCH(Sprint_Epics!$C$2:$C$500,Milestones!$B$2:$B$25,0)),""),""))</f>
        <v>PH1, PH1</v>
      </c>
    </row>
    <row r="20" spans="1:12" ht="23.25" customHeight="1" x14ac:dyDescent="0.2">
      <c r="A20" s="10" t="s">
        <v>392</v>
      </c>
      <c r="B20" s="5" t="s">
        <v>393</v>
      </c>
      <c r="C20" s="11" t="s">
        <v>394</v>
      </c>
      <c r="D20" s="11" t="s">
        <v>395</v>
      </c>
      <c r="E20" s="12"/>
      <c r="F20" s="12"/>
      <c r="G20" s="5">
        <v>4</v>
      </c>
      <c r="H20" s="5">
        <f>COUNTIFS(Stories!$B$2:$B$500,A20,Stories!$L$2:$L$500,"*Done*")</f>
        <v>0</v>
      </c>
      <c r="I20" s="6">
        <f>IFERROR(AVERAGEIFS(Stories!$O$2:$O$500,Stories!$B$2:$B$500,A20),0)/100</f>
        <v>0</v>
      </c>
      <c r="J20" s="5" t="str">
        <f>IF(COUNTIFS(Stories!$B$2:$B$500,A20,Stories!$L$2:$L$500,"*Blocked*")&gt;0,"🚫 Blocked",IF(I20=1,"✅ Completed",IF(I20&gt;0,"🔄 In Progress","⏳ Planned")))</f>
        <v>⏳ Planned</v>
      </c>
      <c r="K20" s="5" t="str">
        <f t="array" ref="K20">_xlfn.TEXTJOIN(", ",TRUE(),IF(Sprint_Epics!$A$2:$A$500=A20,Sprint_Epics!$C$2:$C$500,""))</f>
        <v>ML10, ML10, ML19, ML19, ML17</v>
      </c>
      <c r="L20" s="5" t="str">
        <f t="array" ref="L20">_xlfn.TEXTJOIN(", ",TRUE(),IF(Sprint_Epics!$A$2:$A$500=A20,IFERROR(INDEX(Milestones!$C$2:$C$25,MATCH(Sprint_Epics!$C$2:$C$500,Milestones!$B$2:$B$25,0)),""),""))</f>
        <v>PH1, PH1, PH1, PH1, PH1</v>
      </c>
    </row>
    <row r="21" spans="1:12" ht="23.25" customHeight="1" x14ac:dyDescent="0.2">
      <c r="A21" s="10" t="s">
        <v>396</v>
      </c>
      <c r="B21" s="5" t="s">
        <v>397</v>
      </c>
      <c r="C21" s="11" t="s">
        <v>222</v>
      </c>
      <c r="D21" s="11" t="s">
        <v>398</v>
      </c>
      <c r="E21" s="12"/>
      <c r="F21" s="12"/>
      <c r="G21" s="5">
        <v>3</v>
      </c>
      <c r="H21" s="5">
        <f>COUNTIFS(Stories!$B$2:$B$500,A21,Stories!$L$2:$L$500,"*Done*")</f>
        <v>0</v>
      </c>
      <c r="I21" s="6">
        <f>IFERROR(AVERAGEIFS(Stories!$O$2:$O$500,Stories!$B$2:$B$500,A21),0)/100</f>
        <v>0</v>
      </c>
      <c r="J21" s="5" t="str">
        <f>IF(COUNTIFS(Stories!$B$2:$B$500,A21,Stories!$L$2:$L$500,"*Blocked*")&gt;0,"🚫 Blocked",IF(I21=1,"✅ Completed",IF(I21&gt;0,"🔄 In Progress","⏳ Planned")))</f>
        <v>⏳ Planned</v>
      </c>
      <c r="K21" s="5" t="str">
        <f t="array" ref="K21">_xlfn.TEXTJOIN(", ",TRUE(),IF(Sprint_Epics!$A$2:$A$500=A21,Sprint_Epics!$C$2:$C$500,""))</f>
        <v>ML10, ML17</v>
      </c>
      <c r="L21" s="5" t="str">
        <f t="array" ref="L21">_xlfn.TEXTJOIN(", ",TRUE(),IF(Sprint_Epics!$A$2:$A$500=A21,IFERROR(INDEX(Milestones!$C$2:$C$25,MATCH(Sprint_Epics!$C$2:$C$500,Milestones!$B$2:$B$25,0)),""),""))</f>
        <v>PH1, PH1</v>
      </c>
    </row>
    <row r="22" spans="1:12" ht="23.25" customHeight="1" x14ac:dyDescent="0.2">
      <c r="A22" s="10" t="s">
        <v>399</v>
      </c>
      <c r="B22" s="5" t="s">
        <v>400</v>
      </c>
      <c r="C22" s="11" t="s">
        <v>225</v>
      </c>
      <c r="D22" s="11" t="s">
        <v>401</v>
      </c>
      <c r="E22" s="12"/>
      <c r="F22" s="12"/>
      <c r="G22" s="5">
        <v>4</v>
      </c>
      <c r="H22" s="5">
        <f>COUNTIFS(Stories!$B$2:$B$500,A22,Stories!$L$2:$L$500,"*Done*")</f>
        <v>0</v>
      </c>
      <c r="I22" s="6">
        <f>IFERROR(AVERAGEIFS(Stories!$O$2:$O$500,Stories!$B$2:$B$500,A22),0)/100</f>
        <v>0</v>
      </c>
      <c r="J22" s="5" t="str">
        <f>IF(COUNTIFS(Stories!$B$2:$B$500,A22,Stories!$L$2:$L$500,"*Blocked*")&gt;0,"🚫 Blocked",IF(I22=1,"✅ Completed",IF(I22&gt;0,"🔄 In Progress","⏳ Planned")))</f>
        <v>⏳ Planned</v>
      </c>
      <c r="K22" s="5" t="str">
        <f t="array" ref="K22">_xlfn.TEXTJOIN(", ",TRUE(),IF(Sprint_Epics!$A$2:$A$500=A22,Sprint_Epics!$C$2:$C$500,""))</f>
        <v>ML11, ML11, ML11</v>
      </c>
      <c r="L22" s="5" t="str">
        <f t="array" ref="L22">_xlfn.TEXTJOIN(", ",TRUE(),IF(Sprint_Epics!$A$2:$A$500=A22,IFERROR(INDEX(Milestones!$C$2:$C$25,MATCH(Sprint_Epics!$C$2:$C$500,Milestones!$B$2:$B$25,0)),""),""))</f>
        <v>PH1, PH1, PH1</v>
      </c>
    </row>
    <row r="23" spans="1:12" ht="23.25" customHeight="1" x14ac:dyDescent="0.2">
      <c r="A23" s="10" t="s">
        <v>402</v>
      </c>
      <c r="B23" s="5" t="s">
        <v>403</v>
      </c>
      <c r="C23" s="11" t="s">
        <v>404</v>
      </c>
      <c r="D23" s="11" t="s">
        <v>405</v>
      </c>
      <c r="E23" s="12"/>
      <c r="F23" s="12"/>
      <c r="G23" s="5">
        <v>5</v>
      </c>
      <c r="H23" s="5">
        <f>COUNTIFS(Stories!$B$2:$B$500,A23,Stories!$L$2:$L$500,"*Done*")</f>
        <v>0</v>
      </c>
      <c r="I23" s="6">
        <f>IFERROR(AVERAGEIFS(Stories!$O$2:$O$500,Stories!$B$2:$B$500,A23),0)/100</f>
        <v>0</v>
      </c>
      <c r="J23" s="5" t="str">
        <f>IF(COUNTIFS(Stories!$B$2:$B$500,A23,Stories!$L$2:$L$500,"*Blocked*")&gt;0,"🚫 Blocked",IF(I23=1,"✅ Completed",IF(I23&gt;0,"🔄 In Progress","⏳ Planned")))</f>
        <v>⏳ Planned</v>
      </c>
      <c r="K23" s="5" t="str">
        <f t="array" ref="K23">_xlfn.TEXTJOIN(", ",TRUE(),IF(Sprint_Epics!$A$2:$A$500=A23,Sprint_Epics!$C$2:$C$500,""))</f>
        <v>ML12, ML12, ML12, ML12</v>
      </c>
      <c r="L23" s="5" t="str">
        <f t="array" ref="L23">_xlfn.TEXTJOIN(", ",TRUE(),IF(Sprint_Epics!$A$2:$A$500=A23,IFERROR(INDEX(Milestones!$C$2:$C$25,MATCH(Sprint_Epics!$C$2:$C$500,Milestones!$B$2:$B$25,0)),""),""))</f>
        <v>PH1, PH1, PH1, PH1</v>
      </c>
    </row>
    <row r="24" spans="1:12" ht="23.25" customHeight="1" x14ac:dyDescent="0.2">
      <c r="A24" s="10" t="s">
        <v>406</v>
      </c>
      <c r="B24" s="5" t="s">
        <v>407</v>
      </c>
      <c r="C24" s="11" t="s">
        <v>408</v>
      </c>
      <c r="D24" s="11" t="s">
        <v>409</v>
      </c>
      <c r="E24" s="12"/>
      <c r="F24" s="12"/>
      <c r="G24" s="5">
        <v>5</v>
      </c>
      <c r="H24" s="5">
        <f>COUNTIFS(Stories!$B$2:$B$500,A24,Stories!$L$2:$L$500,"*Done*")</f>
        <v>0</v>
      </c>
      <c r="I24" s="6">
        <f>IFERROR(AVERAGEIFS(Stories!$O$2:$O$500,Stories!$B$2:$B$500,A24),0)/100</f>
        <v>0</v>
      </c>
      <c r="J24" s="5" t="str">
        <f>IF(COUNTIFS(Stories!$B$2:$B$500,A24,Stories!$L$2:$L$500,"*Blocked*")&gt;0,"🚫 Blocked",IF(I24=1,"✅ Completed",IF(I24&gt;0,"🔄 In Progress","⏳ Planned")))</f>
        <v>⏳ Planned</v>
      </c>
      <c r="K24" s="5" t="str">
        <f t="array" ref="K24">_xlfn.TEXTJOIN(", ",TRUE(),IF(Sprint_Epics!$A$2:$A$500=A24,Sprint_Epics!$C$2:$C$500,""))</f>
        <v>ML13, ML13, ML13</v>
      </c>
      <c r="L24" s="5" t="str">
        <f t="array" ref="L24">_xlfn.TEXTJOIN(", ",TRUE(),IF(Sprint_Epics!$A$2:$A$500=A24,IFERROR(INDEX(Milestones!$C$2:$C$25,MATCH(Sprint_Epics!$C$2:$C$500,Milestones!$B$2:$B$25,0)),""),""))</f>
        <v>PH1, PH1, PH1</v>
      </c>
    </row>
    <row r="25" spans="1:12" ht="23.25" customHeight="1" x14ac:dyDescent="0.2">
      <c r="A25" s="10" t="s">
        <v>410</v>
      </c>
      <c r="B25" s="5" t="s">
        <v>411</v>
      </c>
      <c r="C25" s="11" t="s">
        <v>412</v>
      </c>
      <c r="D25" s="11" t="s">
        <v>413</v>
      </c>
      <c r="E25" s="12"/>
      <c r="F25" s="12"/>
      <c r="G25" s="5">
        <v>4</v>
      </c>
      <c r="H25" s="5">
        <f>COUNTIFS(Stories!$B$2:$B$500,A25,Stories!$L$2:$L$500,"*Done*")</f>
        <v>0</v>
      </c>
      <c r="I25" s="6">
        <f>IFERROR(AVERAGEIFS(Stories!$O$2:$O$500,Stories!$B$2:$B$500,A25),0)/100</f>
        <v>0</v>
      </c>
      <c r="J25" s="5" t="str">
        <f>IF(COUNTIFS(Stories!$B$2:$B$500,A25,Stories!$L$2:$L$500,"*Blocked*")&gt;0,"🚫 Blocked",IF(I25=1,"✅ Completed",IF(I25&gt;0,"🔄 In Progress","⏳ Planned")))</f>
        <v>⏳ Planned</v>
      </c>
      <c r="K25" s="5" t="str">
        <f t="array" ref="K25">_xlfn.TEXTJOIN(", ",TRUE(),IF(Sprint_Epics!$A$2:$A$500=A25,Sprint_Epics!$C$2:$C$500,""))</f>
        <v>ML20, ML20</v>
      </c>
      <c r="L25" s="5" t="str">
        <f t="array" ref="L25">_xlfn.TEXTJOIN(", ",TRUE(),IF(Sprint_Epics!$A$2:$A$500=A25,IFERROR(INDEX(Milestones!$C$2:$C$25,MATCH(Sprint_Epics!$C$2:$C$500,Milestones!$B$2:$B$25,0)),""),""))</f>
        <v>PH1, PH1</v>
      </c>
    </row>
    <row r="26" spans="1:12" ht="23.25" customHeight="1" x14ac:dyDescent="0.2">
      <c r="A26" s="10" t="s">
        <v>414</v>
      </c>
      <c r="B26" s="5" t="s">
        <v>415</v>
      </c>
      <c r="C26" s="11" t="s">
        <v>77</v>
      </c>
      <c r="D26" s="11" t="s">
        <v>416</v>
      </c>
      <c r="E26" s="12"/>
      <c r="F26" s="12"/>
      <c r="G26" s="5">
        <v>3</v>
      </c>
      <c r="H26" s="5">
        <f>COUNTIFS(Stories!$B$2:$B$500,A26,Stories!$L$2:$L$500,"*Done*")</f>
        <v>0</v>
      </c>
      <c r="I26" s="6">
        <f>IFERROR(AVERAGEIFS(Stories!$O$2:$O$500,Stories!$B$2:$B$500,A26),0)/100</f>
        <v>0</v>
      </c>
      <c r="J26" s="5" t="str">
        <f>IF(COUNTIFS(Stories!$B$2:$B$500,A26,Stories!$L$2:$L$500,"*Blocked*")&gt;0,"🚫 Blocked",IF(I26=1,"✅ Completed",IF(I26&gt;0,"🔄 In Progress","⏳ Planned")))</f>
        <v>⏳ Planned</v>
      </c>
      <c r="K26" s="5" t="str">
        <f t="array" ref="K26">_xlfn.TEXTJOIN(", ",TRUE(),IF(Sprint_Epics!$A$2:$A$500=A26,Sprint_Epics!$C$2:$C$500,""))</f>
        <v>ML21, ML21</v>
      </c>
      <c r="L26" s="5" t="str">
        <f t="array" ref="L26">_xlfn.TEXTJOIN(", ",TRUE(),IF(Sprint_Epics!$A$2:$A$500=A26,IFERROR(INDEX(Milestones!$C$2:$C$25,MATCH(Sprint_Epics!$C$2:$C$500,Milestones!$B$2:$B$25,0)),""),""))</f>
        <v>PH1, PH1</v>
      </c>
    </row>
    <row r="27" spans="1:12" ht="30" x14ac:dyDescent="0.2">
      <c r="A27" s="10" t="s">
        <v>417</v>
      </c>
      <c r="B27" s="5" t="s">
        <v>418</v>
      </c>
      <c r="C27" s="11" t="s">
        <v>80</v>
      </c>
      <c r="D27" s="11" t="s">
        <v>419</v>
      </c>
      <c r="E27" s="12"/>
      <c r="F27" s="12"/>
      <c r="G27" s="5">
        <v>2</v>
      </c>
      <c r="H27" s="5">
        <f>COUNTIFS(Stories!$B$2:$B$500,A27,Stories!$L$2:$L$500,"*Done*")</f>
        <v>0</v>
      </c>
      <c r="I27" s="6">
        <f>IFERROR(AVERAGEIFS(Stories!$O$2:$O$500,Stories!$B$2:$B$500,A27),0)/100</f>
        <v>0</v>
      </c>
      <c r="J27" s="5" t="str">
        <f>IF(COUNTIFS(Stories!$B$2:$B$500,A27,Stories!$L$2:$L$500,"*Blocked*")&gt;0,"🚫 Blocked",IF(I27=1,"✅ Completed",IF(I27&gt;0,"🔄 In Progress","⏳ Planned")))</f>
        <v>⏳ Planned</v>
      </c>
      <c r="K27" s="5" t="str">
        <f t="array" ref="K27">_xlfn.TEXTJOIN(", ",TRUE(),IF(Sprint_Epics!$A$2:$A$500=A27,Sprint_Epics!$C$2:$C$500,""))</f>
        <v>ML22, ML22</v>
      </c>
      <c r="L27" s="5" t="str">
        <f t="array" ref="L27">_xlfn.TEXTJOIN(", ",TRUE(),IF(Sprint_Epics!$A$2:$A$500=A27,IFERROR(INDEX(Milestones!$C$2:$C$25,MATCH(Sprint_Epics!$C$2:$C$500,Milestones!$B$2:$B$25,0)),""),""))</f>
        <v>PH1, PH1</v>
      </c>
    </row>
    <row r="28" spans="1:12" ht="30" x14ac:dyDescent="0.2">
      <c r="A28" s="10" t="s">
        <v>420</v>
      </c>
      <c r="B28" s="5" t="s">
        <v>421</v>
      </c>
      <c r="C28" s="11" t="s">
        <v>422</v>
      </c>
      <c r="D28" s="11" t="s">
        <v>423</v>
      </c>
      <c r="E28" s="12"/>
      <c r="F28" s="12"/>
      <c r="G28" s="5">
        <v>2</v>
      </c>
      <c r="H28" s="5">
        <f>COUNTIFS(Stories!$B$2:$B$500,A28,Stories!$L$2:$L$500,"*Done*")</f>
        <v>0</v>
      </c>
      <c r="I28" s="6">
        <f>IFERROR(AVERAGEIFS(Stories!$O$2:$O$500,Stories!$B$2:$B$500,A28),0)/100</f>
        <v>0</v>
      </c>
      <c r="J28" s="5" t="str">
        <f>IF(COUNTIFS(Stories!$B$2:$B$500,A28,Stories!$L$2:$L$500,"*Blocked*")&gt;0,"🚫 Blocked",IF(I28=1,"✅ Completed",IF(I28&gt;0,"🔄 In Progress","⏳ Planned")))</f>
        <v>⏳ Planned</v>
      </c>
      <c r="K28" s="5" t="str">
        <f t="array" ref="K28">_xlfn.TEXTJOIN(", ",TRUE(),IF(Sprint_Epics!$A$2:$A$500=A28,Sprint_Epics!$C$2:$C$500,""))</f>
        <v>ML23, ML23</v>
      </c>
      <c r="L28" s="5" t="str">
        <f t="array" ref="L28">_xlfn.TEXTJOIN(", ",TRUE(),IF(Sprint_Epics!$A$2:$A$500=A28,IFERROR(INDEX(Milestones!$C$2:$C$25,MATCH(Sprint_Epics!$C$2:$C$500,Milestones!$B$2:$B$25,0)),""),""))</f>
        <v>PH1, PH1</v>
      </c>
    </row>
    <row r="29" spans="1:12" ht="30" x14ac:dyDescent="0.2">
      <c r="A29" s="10" t="s">
        <v>424</v>
      </c>
      <c r="B29" s="5" t="s">
        <v>425</v>
      </c>
      <c r="C29" s="11" t="s">
        <v>87</v>
      </c>
      <c r="D29" s="11" t="s">
        <v>426</v>
      </c>
      <c r="E29" s="12"/>
      <c r="F29" s="12"/>
      <c r="G29" s="5">
        <v>2</v>
      </c>
      <c r="H29" s="5">
        <f>COUNTIFS(Stories!$B$2:$B$500,A29,Stories!$L$2:$L$500,"*Done*")</f>
        <v>0</v>
      </c>
      <c r="I29" s="6">
        <f>IFERROR(AVERAGEIFS(Stories!$O$2:$O$500,Stories!$B$2:$B$500,A29),0)/100</f>
        <v>0</v>
      </c>
      <c r="J29" s="5" t="str">
        <f>IF(COUNTIFS(Stories!$B$2:$B$500,A29,Stories!$L$2:$L$500,"*Blocked*")&gt;0,"🚫 Blocked",IF(I29=1,"✅ Completed",IF(I29&gt;0,"🔄 In Progress","⏳ Planned")))</f>
        <v>⏳ Planned</v>
      </c>
      <c r="K29" s="5" t="str">
        <f t="array" ref="K29">_xlfn.TEXTJOIN(", ",TRUE(),IF(Sprint_Epics!$A$2:$A$500=A29,Sprint_Epics!$C$2:$C$500,""))</f>
        <v>ML24</v>
      </c>
      <c r="L29" s="5" t="str">
        <f t="array" ref="L29">_xlfn.TEXTJOIN(", ",TRUE(),IF(Sprint_Epics!$A$2:$A$500=A29,IFERROR(INDEX(Milestones!$C$2:$C$25,MATCH(Sprint_Epics!$C$2:$C$500,Milestones!$B$2:$B$25,0)),""),""))</f>
        <v>PH1</v>
      </c>
    </row>
  </sheetData>
  <conditionalFormatting sqref="I2:I26">
    <cfRule type="dataBar" priority="8">
      <dataBar>
        <cfvo type="num" val="0"/>
        <cfvo type="num" val="100"/>
        <color rgb="FF638EC6"/>
      </dataBar>
    </cfRule>
  </conditionalFormatting>
  <conditionalFormatting sqref="J2:J26">
    <cfRule type="expression" dxfId="23" priority="2">
      <formula>ISNUMBER(SEARCH("Completed",J2))</formula>
    </cfRule>
    <cfRule type="expression" dxfId="22" priority="3">
      <formula>ISNUMBER(SEARCH("Done",J2))</formula>
    </cfRule>
    <cfRule type="expression" dxfId="21" priority="4">
      <formula>ISNUMBER(SEARCH("Progress",J2))</formula>
    </cfRule>
    <cfRule type="expression" dxfId="20" priority="5">
      <formula>ISNUMBER(SEARCH("Blocked",J2))</formula>
    </cfRule>
    <cfRule type="expression" dxfId="19" priority="6">
      <formula>ISNUMBER(SEARCH("Planned",J2))</formula>
    </cfRule>
    <cfRule type="expression" dxfId="18" priority="7">
      <formula>ISNUMBER(SEARCH("Not Started",J2))</formula>
    </cfRule>
  </conditionalFormatting>
  <hyperlinks>
    <hyperlink ref="A2" r:id="rId1" location="'Stories'!A1" xr:uid="{00000000-0004-0000-0400-000000000000}"/>
  </hyperlinks>
  <pageMargins left="0.75" right="0.75" top="1" bottom="1" header="0.511811023622047" footer="0.511811023622047"/>
  <pageSetup paperSize="9" orientation="portrait" horizontalDpi="300" verticalDpi="300"/>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72"/>
  <sheetViews>
    <sheetView zoomScaleNormal="100" workbookViewId="0">
      <pane ySplit="1" topLeftCell="A2" activePane="bottomLeft" state="frozen"/>
      <selection pane="bottomLeft"/>
    </sheetView>
  </sheetViews>
  <sheetFormatPr baseColWidth="10" defaultColWidth="8.6640625" defaultRowHeight="15" x14ac:dyDescent="0.2"/>
  <cols>
    <col min="1" max="1" width="12" customWidth="1"/>
    <col min="2" max="3" width="14" customWidth="1"/>
  </cols>
  <sheetData>
    <row r="1" spans="1:3" ht="30" customHeight="1" x14ac:dyDescent="0.2">
      <c r="A1" s="4" t="s">
        <v>316</v>
      </c>
      <c r="B1" s="4" t="s">
        <v>137</v>
      </c>
      <c r="C1" s="4" t="s">
        <v>136</v>
      </c>
    </row>
    <row r="2" spans="1:3" ht="15" customHeight="1" x14ac:dyDescent="0.2">
      <c r="A2" s="22" t="s">
        <v>325</v>
      </c>
      <c r="B2" s="22" t="s">
        <v>139</v>
      </c>
      <c r="C2" s="22" t="str">
        <f>IFERROR(INDEX(Epics!$B$2:$B$100,MATCH(B2,Epics!$C$2:$C$100,0)),"")</f>
        <v>ML1</v>
      </c>
    </row>
    <row r="3" spans="1:3" ht="15" customHeight="1" x14ac:dyDescent="0.2">
      <c r="A3" s="22" t="s">
        <v>328</v>
      </c>
      <c r="B3" s="22" t="s">
        <v>141</v>
      </c>
      <c r="C3" s="22" t="str">
        <f>IFERROR(INDEX(Epics!$B$2:$B$100,MATCH(B3,Epics!$C$2:$C$100,0)),"")</f>
        <v>ML2</v>
      </c>
    </row>
    <row r="4" spans="1:3" ht="15" customHeight="1" x14ac:dyDescent="0.2">
      <c r="A4" s="22" t="s">
        <v>328</v>
      </c>
      <c r="B4" s="22" t="s">
        <v>144</v>
      </c>
      <c r="C4" s="22" t="str">
        <f>IFERROR(INDEX(Epics!$B$2:$B$100,MATCH(B4,Epics!$C$2:$C$100,0)),"")</f>
        <v>ML2</v>
      </c>
    </row>
    <row r="5" spans="1:3" ht="15" customHeight="1" x14ac:dyDescent="0.2">
      <c r="A5" s="22" t="s">
        <v>328</v>
      </c>
      <c r="B5" s="22" t="s">
        <v>248</v>
      </c>
      <c r="C5" s="22" t="str">
        <f>IFERROR(INDEX(Epics!$B$2:$B$100,MATCH(B5,Epics!$C$2:$C$100,0)),"")</f>
        <v>ML14</v>
      </c>
    </row>
    <row r="6" spans="1:3" ht="15" customHeight="1" x14ac:dyDescent="0.2">
      <c r="A6" s="22" t="s">
        <v>328</v>
      </c>
      <c r="B6" s="22" t="s">
        <v>257</v>
      </c>
      <c r="C6" s="22" t="str">
        <f>IFERROR(INDEX(Epics!$B$2:$B$100,MATCH(B6,Epics!$C$2:$C$100,0)),"")</f>
        <v>ML15</v>
      </c>
    </row>
    <row r="7" spans="1:3" ht="15" customHeight="1" x14ac:dyDescent="0.2">
      <c r="A7" s="22" t="s">
        <v>332</v>
      </c>
      <c r="B7" s="22" t="s">
        <v>147</v>
      </c>
      <c r="C7" s="22" t="str">
        <f>IFERROR(INDEX(Epics!$B$2:$B$100,MATCH(B7,Epics!$C$2:$C$100,0)),"")</f>
        <v>ML2</v>
      </c>
    </row>
    <row r="8" spans="1:3" ht="15" customHeight="1" x14ac:dyDescent="0.2">
      <c r="A8" s="22" t="s">
        <v>332</v>
      </c>
      <c r="B8" s="22" t="s">
        <v>150</v>
      </c>
      <c r="C8" s="22" t="str">
        <f>IFERROR(INDEX(Epics!$B$2:$B$100,MATCH(B8,Epics!$C$2:$C$100,0)),"")</f>
        <v>ML2</v>
      </c>
    </row>
    <row r="9" spans="1:3" ht="15" customHeight="1" x14ac:dyDescent="0.2">
      <c r="A9" s="22" t="s">
        <v>332</v>
      </c>
      <c r="B9" s="22" t="s">
        <v>260</v>
      </c>
      <c r="C9" s="22" t="str">
        <f>IFERROR(INDEX(Epics!$B$2:$B$100,MATCH(B9,Epics!$C$2:$C$100,0)),"")</f>
        <v>ML16</v>
      </c>
    </row>
    <row r="10" spans="1:3" ht="15" customHeight="1" x14ac:dyDescent="0.2">
      <c r="A10" s="22" t="s">
        <v>336</v>
      </c>
      <c r="B10" s="22" t="s">
        <v>153</v>
      </c>
      <c r="C10" s="22" t="str">
        <f>IFERROR(INDEX(Epics!$B$2:$B$100,MATCH(B10,Epics!$C$2:$C$100,0)),"")</f>
        <v>ML2</v>
      </c>
    </row>
    <row r="11" spans="1:3" ht="15" customHeight="1" x14ac:dyDescent="0.2">
      <c r="A11" s="22" t="s">
        <v>336</v>
      </c>
      <c r="B11" s="22" t="s">
        <v>156</v>
      </c>
      <c r="C11" s="22" t="str">
        <f>IFERROR(INDEX(Epics!$B$2:$B$100,MATCH(B11,Epics!$C$2:$C$100,0)),"")</f>
        <v>ML3</v>
      </c>
    </row>
    <row r="12" spans="1:3" ht="15" customHeight="1" x14ac:dyDescent="0.2">
      <c r="A12" s="22" t="s">
        <v>336</v>
      </c>
      <c r="B12" s="22" t="s">
        <v>260</v>
      </c>
      <c r="C12" s="22" t="str">
        <f>IFERROR(INDEX(Epics!$B$2:$B$100,MATCH(B12,Epics!$C$2:$C$100,0)),"")</f>
        <v>ML16</v>
      </c>
    </row>
    <row r="13" spans="1:3" ht="15" customHeight="1" x14ac:dyDescent="0.2">
      <c r="A13" s="22" t="s">
        <v>340</v>
      </c>
      <c r="B13" s="22" t="s">
        <v>162</v>
      </c>
      <c r="C13" s="22" t="str">
        <f>IFERROR(INDEX(Epics!$B$2:$B$100,MATCH(B13,Epics!$C$2:$C$100,0)),"")</f>
        <v>ML3</v>
      </c>
    </row>
    <row r="14" spans="1:3" ht="15" customHeight="1" x14ac:dyDescent="0.2">
      <c r="A14" s="22" t="s">
        <v>340</v>
      </c>
      <c r="B14" s="22" t="s">
        <v>260</v>
      </c>
      <c r="C14" s="22" t="str">
        <f>IFERROR(INDEX(Epics!$B$2:$B$100,MATCH(B14,Epics!$C$2:$C$100,0)),"")</f>
        <v>ML16</v>
      </c>
    </row>
    <row r="15" spans="1:3" ht="15" customHeight="1" x14ac:dyDescent="0.2">
      <c r="A15" s="22" t="s">
        <v>344</v>
      </c>
      <c r="B15" s="22" t="s">
        <v>165</v>
      </c>
      <c r="C15" s="22" t="str">
        <f>IFERROR(INDEX(Epics!$B$2:$B$100,MATCH(B15,Epics!$C$2:$C$100,0)),"")</f>
        <v>ML4</v>
      </c>
    </row>
    <row r="16" spans="1:3" ht="15" customHeight="1" x14ac:dyDescent="0.2">
      <c r="A16" s="22" t="s">
        <v>344</v>
      </c>
      <c r="B16" s="22" t="s">
        <v>260</v>
      </c>
      <c r="C16" s="22" t="str">
        <f>IFERROR(INDEX(Epics!$B$2:$B$100,MATCH(B16,Epics!$C$2:$C$100,0)),"")</f>
        <v>ML16</v>
      </c>
    </row>
    <row r="17" spans="1:3" ht="15" customHeight="1" x14ac:dyDescent="0.2">
      <c r="A17" s="22" t="s">
        <v>347</v>
      </c>
      <c r="B17" s="22" t="s">
        <v>167</v>
      </c>
      <c r="C17" s="22" t="str">
        <f>IFERROR(INDEX(Epics!$B$2:$B$100,MATCH(B17,Epics!$C$2:$C$100,0)),"")</f>
        <v>ML4</v>
      </c>
    </row>
    <row r="18" spans="1:3" ht="15" customHeight="1" x14ac:dyDescent="0.2">
      <c r="A18" s="22" t="s">
        <v>347</v>
      </c>
      <c r="B18" s="22" t="s">
        <v>260</v>
      </c>
      <c r="C18" s="22" t="str">
        <f>IFERROR(INDEX(Epics!$B$2:$B$100,MATCH(B18,Epics!$C$2:$C$100,0)),"")</f>
        <v>ML16</v>
      </c>
    </row>
    <row r="19" spans="1:3" ht="15" customHeight="1" x14ac:dyDescent="0.2">
      <c r="A19" s="22" t="s">
        <v>351</v>
      </c>
      <c r="B19" s="22" t="s">
        <v>173</v>
      </c>
      <c r="C19" s="22" t="str">
        <f>IFERROR(INDEX(Epics!$B$2:$B$100,MATCH(B19,Epics!$C$2:$C$100,0)),"")</f>
        <v>ML5</v>
      </c>
    </row>
    <row r="20" spans="1:3" ht="15" customHeight="1" x14ac:dyDescent="0.2">
      <c r="A20" s="22" t="s">
        <v>351</v>
      </c>
      <c r="B20" s="22" t="s">
        <v>260</v>
      </c>
      <c r="C20" s="22" t="str">
        <f>IFERROR(INDEX(Epics!$B$2:$B$100,MATCH(B20,Epics!$C$2:$C$100,0)),"")</f>
        <v>ML16</v>
      </c>
    </row>
    <row r="21" spans="1:3" ht="15" customHeight="1" x14ac:dyDescent="0.2">
      <c r="A21" s="22" t="s">
        <v>355</v>
      </c>
      <c r="B21" s="22" t="s">
        <v>170</v>
      </c>
      <c r="C21" s="22" t="str">
        <f>IFERROR(INDEX(Epics!$B$2:$B$100,MATCH(B21,Epics!$C$2:$C$100,0)),"")</f>
        <v>ML5</v>
      </c>
    </row>
    <row r="22" spans="1:3" ht="15" customHeight="1" x14ac:dyDescent="0.2">
      <c r="A22" s="22" t="s">
        <v>355</v>
      </c>
      <c r="B22" s="22" t="s">
        <v>176</v>
      </c>
      <c r="C22" s="22" t="str">
        <f>IFERROR(INDEX(Epics!$B$2:$B$100,MATCH(B22,Epics!$C$2:$C$100,0)),"")</f>
        <v>ML5</v>
      </c>
    </row>
    <row r="23" spans="1:3" ht="15" customHeight="1" x14ac:dyDescent="0.2">
      <c r="A23" s="22" t="s">
        <v>355</v>
      </c>
      <c r="B23" s="22" t="s">
        <v>239</v>
      </c>
      <c r="C23" s="22" t="str">
        <f>IFERROR(INDEX(Epics!$B$2:$B$100,MATCH(B23,Epics!$C$2:$C$100,0)),"")</f>
        <v>ML13</v>
      </c>
    </row>
    <row r="24" spans="1:3" ht="15" customHeight="1" x14ac:dyDescent="0.2">
      <c r="A24" s="22" t="s">
        <v>359</v>
      </c>
      <c r="B24" s="22" t="s">
        <v>179</v>
      </c>
      <c r="C24" s="22" t="str">
        <f>IFERROR(INDEX(Epics!$B$2:$B$100,MATCH(B24,Epics!$C$2:$C$100,0)),"")</f>
        <v>ML6</v>
      </c>
    </row>
    <row r="25" spans="1:3" ht="15" customHeight="1" x14ac:dyDescent="0.2">
      <c r="A25" s="22" t="s">
        <v>359</v>
      </c>
      <c r="B25" s="22" t="s">
        <v>188</v>
      </c>
      <c r="C25" s="22" t="str">
        <f>IFERROR(INDEX(Epics!$B$2:$B$100,MATCH(B25,Epics!$C$2:$C$100,0)),"")</f>
        <v>ML6</v>
      </c>
    </row>
    <row r="26" spans="1:3" ht="15" customHeight="1" x14ac:dyDescent="0.2">
      <c r="A26" s="22" t="s">
        <v>359</v>
      </c>
      <c r="B26" s="22" t="s">
        <v>269</v>
      </c>
      <c r="C26" s="22" t="str">
        <f>IFERROR(INDEX(Epics!$B$2:$B$100,MATCH(B26,Epics!$C$2:$C$100,0)),"")</f>
        <v>ML18</v>
      </c>
    </row>
    <row r="27" spans="1:3" ht="15" customHeight="1" x14ac:dyDescent="0.2">
      <c r="A27" s="22" t="s">
        <v>359</v>
      </c>
      <c r="B27" s="22" t="s">
        <v>272</v>
      </c>
      <c r="C27" s="22" t="str">
        <f>IFERROR(INDEX(Epics!$B$2:$B$100,MATCH(B27,Epics!$C$2:$C$100,0)),"")</f>
        <v>ML18</v>
      </c>
    </row>
    <row r="28" spans="1:3" ht="15" customHeight="1" x14ac:dyDescent="0.2">
      <c r="A28" s="22" t="s">
        <v>359</v>
      </c>
      <c r="B28" s="22" t="s">
        <v>260</v>
      </c>
      <c r="C28" s="22" t="str">
        <f>IFERROR(INDEX(Epics!$B$2:$B$100,MATCH(B28,Epics!$C$2:$C$100,0)),"")</f>
        <v>ML16</v>
      </c>
    </row>
    <row r="29" spans="1:3" ht="15" customHeight="1" x14ac:dyDescent="0.2">
      <c r="A29" s="22" t="s">
        <v>363</v>
      </c>
      <c r="B29" s="22" t="s">
        <v>182</v>
      </c>
      <c r="C29" s="22" t="str">
        <f>IFERROR(INDEX(Epics!$B$2:$B$100,MATCH(B29,Epics!$C$2:$C$100,0)),"")</f>
        <v>ML6</v>
      </c>
    </row>
    <row r="30" spans="1:3" ht="15" customHeight="1" x14ac:dyDescent="0.2">
      <c r="A30" s="22" t="s">
        <v>363</v>
      </c>
      <c r="B30" s="22" t="s">
        <v>185</v>
      </c>
      <c r="C30" s="22" t="str">
        <f>IFERROR(INDEX(Epics!$B$2:$B$100,MATCH(B30,Epics!$C$2:$C$100,0)),"")</f>
        <v>ML6</v>
      </c>
    </row>
    <row r="31" spans="1:3" ht="15" customHeight="1" x14ac:dyDescent="0.2">
      <c r="A31" s="22" t="s">
        <v>363</v>
      </c>
      <c r="B31" s="22" t="s">
        <v>260</v>
      </c>
      <c r="C31" s="22" t="str">
        <f>IFERROR(INDEX(Epics!$B$2:$B$100,MATCH(B31,Epics!$C$2:$C$100,0)),"")</f>
        <v>ML16</v>
      </c>
    </row>
    <row r="32" spans="1:3" ht="15" customHeight="1" x14ac:dyDescent="0.2">
      <c r="A32" s="22" t="s">
        <v>367</v>
      </c>
      <c r="B32" s="22" t="s">
        <v>194</v>
      </c>
      <c r="C32" s="22" t="str">
        <f>IFERROR(INDEX(Epics!$B$2:$B$100,MATCH(B32,Epics!$C$2:$C$100,0)),"")</f>
        <v>ML7</v>
      </c>
    </row>
    <row r="33" spans="1:3" ht="15" customHeight="1" x14ac:dyDescent="0.2">
      <c r="A33" s="22" t="s">
        <v>367</v>
      </c>
      <c r="B33" s="22" t="s">
        <v>197</v>
      </c>
      <c r="C33" s="22" t="str">
        <f>IFERROR(INDEX(Epics!$B$2:$B$100,MATCH(B33,Epics!$C$2:$C$100,0)),"")</f>
        <v>ML7</v>
      </c>
    </row>
    <row r="34" spans="1:3" ht="15" customHeight="1" x14ac:dyDescent="0.2">
      <c r="A34" s="22" t="s">
        <v>367</v>
      </c>
      <c r="B34" s="22" t="s">
        <v>260</v>
      </c>
      <c r="C34" s="22" t="str">
        <f>IFERROR(INDEX(Epics!$B$2:$B$100,MATCH(B34,Epics!$C$2:$C$100,0)),"")</f>
        <v>ML16</v>
      </c>
    </row>
    <row r="35" spans="1:3" ht="15" customHeight="1" x14ac:dyDescent="0.2">
      <c r="A35" s="22" t="s">
        <v>371</v>
      </c>
      <c r="B35" s="22" t="s">
        <v>191</v>
      </c>
      <c r="C35" s="22" t="str">
        <f>IFERROR(INDEX(Epics!$B$2:$B$100,MATCH(B35,Epics!$C$2:$C$100,0)),"")</f>
        <v>ML7</v>
      </c>
    </row>
    <row r="36" spans="1:3" ht="15" customHeight="1" x14ac:dyDescent="0.2">
      <c r="A36" s="22" t="s">
        <v>371</v>
      </c>
      <c r="B36" s="22" t="s">
        <v>260</v>
      </c>
      <c r="C36" s="22" t="str">
        <f>IFERROR(INDEX(Epics!$B$2:$B$100,MATCH(B36,Epics!$C$2:$C$100,0)),"")</f>
        <v>ML16</v>
      </c>
    </row>
    <row r="37" spans="1:3" ht="15" customHeight="1" x14ac:dyDescent="0.2">
      <c r="A37" s="22" t="s">
        <v>374</v>
      </c>
      <c r="B37" s="22" t="s">
        <v>200</v>
      </c>
      <c r="C37" s="22" t="str">
        <f>IFERROR(INDEX(Epics!$B$2:$B$100,MATCH(B37,Epics!$C$2:$C$100,0)),"")</f>
        <v>ML8</v>
      </c>
    </row>
    <row r="38" spans="1:3" ht="15" customHeight="1" x14ac:dyDescent="0.2">
      <c r="A38" s="22" t="s">
        <v>374</v>
      </c>
      <c r="B38" s="22" t="s">
        <v>263</v>
      </c>
      <c r="C38" s="22" t="str">
        <f>IFERROR(INDEX(Epics!$B$2:$B$100,MATCH(B38,Epics!$C$2:$C$100,0)),"")</f>
        <v>ML17</v>
      </c>
    </row>
    <row r="39" spans="1:3" ht="15" customHeight="1" x14ac:dyDescent="0.2">
      <c r="A39" s="22" t="s">
        <v>378</v>
      </c>
      <c r="B39" s="22" t="s">
        <v>203</v>
      </c>
      <c r="C39" s="22" t="str">
        <f>IFERROR(INDEX(Epics!$B$2:$B$100,MATCH(B39,Epics!$C$2:$C$100,0)),"")</f>
        <v>ML8</v>
      </c>
    </row>
    <row r="40" spans="1:3" ht="15" customHeight="1" x14ac:dyDescent="0.2">
      <c r="A40" s="22" t="s">
        <v>378</v>
      </c>
      <c r="B40" s="22" t="s">
        <v>263</v>
      </c>
      <c r="C40" s="22" t="str">
        <f>IFERROR(INDEX(Epics!$B$2:$B$100,MATCH(B40,Epics!$C$2:$C$100,0)),"")</f>
        <v>ML17</v>
      </c>
    </row>
    <row r="41" spans="1:3" ht="15" customHeight="1" x14ac:dyDescent="0.2">
      <c r="A41" s="22" t="s">
        <v>382</v>
      </c>
      <c r="B41" s="22" t="s">
        <v>206</v>
      </c>
      <c r="C41" s="22" t="str">
        <f>IFERROR(INDEX(Epics!$B$2:$B$100,MATCH(B41,Epics!$C$2:$C$100,0)),"")</f>
        <v>ML9</v>
      </c>
    </row>
    <row r="42" spans="1:3" ht="15" customHeight="1" x14ac:dyDescent="0.2">
      <c r="A42" s="22" t="s">
        <v>382</v>
      </c>
      <c r="B42" s="22" t="s">
        <v>307</v>
      </c>
      <c r="C42" s="22" t="str">
        <f>IFERROR(INDEX(Epics!$B$2:$B$100,MATCH(B42,Epics!$C$2:$C$100,0)),"")</f>
        <v>ML9</v>
      </c>
    </row>
    <row r="43" spans="1:3" ht="15" customHeight="1" x14ac:dyDescent="0.2">
      <c r="A43" s="22" t="s">
        <v>385</v>
      </c>
      <c r="B43" s="22" t="s">
        <v>209</v>
      </c>
      <c r="C43" s="22" t="str">
        <f>IFERROR(INDEX(Epics!$B$2:$B$100,MATCH(B43,Epics!$C$2:$C$100,0)),"")</f>
        <v>ML9</v>
      </c>
    </row>
    <row r="44" spans="1:3" ht="15" customHeight="1" x14ac:dyDescent="0.2">
      <c r="A44" s="22" t="s">
        <v>385</v>
      </c>
      <c r="B44" s="22" t="s">
        <v>307</v>
      </c>
      <c r="C44" s="22" t="str">
        <f>IFERROR(INDEX(Epics!$B$2:$B$100,MATCH(B44,Epics!$C$2:$C$100,0)),"")</f>
        <v>ML9</v>
      </c>
    </row>
    <row r="45" spans="1:3" ht="15" customHeight="1" x14ac:dyDescent="0.2">
      <c r="A45" s="22" t="s">
        <v>388</v>
      </c>
      <c r="B45" s="22" t="s">
        <v>212</v>
      </c>
      <c r="C45" s="22" t="str">
        <f>IFERROR(INDEX(Epics!$B$2:$B$100,MATCH(B45,Epics!$C$2:$C$100,0)),"")</f>
        <v>ML9</v>
      </c>
    </row>
    <row r="46" spans="1:3" ht="15" customHeight="1" x14ac:dyDescent="0.2">
      <c r="A46" s="22" t="s">
        <v>388</v>
      </c>
      <c r="B46" s="22" t="s">
        <v>307</v>
      </c>
      <c r="C46" s="22" t="str">
        <f>IFERROR(INDEX(Epics!$B$2:$B$100,MATCH(B46,Epics!$C$2:$C$100,0)),"")</f>
        <v>ML9</v>
      </c>
    </row>
    <row r="47" spans="1:3" ht="15" customHeight="1" x14ac:dyDescent="0.2">
      <c r="A47" s="22" t="s">
        <v>392</v>
      </c>
      <c r="B47" s="22" t="s">
        <v>215</v>
      </c>
      <c r="C47" s="22" t="str">
        <f>IFERROR(INDEX(Epics!$B$2:$B$100,MATCH(B47,Epics!$C$2:$C$100,0)),"")</f>
        <v>ML10</v>
      </c>
    </row>
    <row r="48" spans="1:3" ht="15" customHeight="1" x14ac:dyDescent="0.2">
      <c r="A48" s="22" t="s">
        <v>392</v>
      </c>
      <c r="B48" s="22" t="s">
        <v>218</v>
      </c>
      <c r="C48" s="22" t="str">
        <f>IFERROR(INDEX(Epics!$B$2:$B$100,MATCH(B48,Epics!$C$2:$C$100,0)),"")</f>
        <v>ML10</v>
      </c>
    </row>
    <row r="49" spans="1:3" ht="15" customHeight="1" x14ac:dyDescent="0.2">
      <c r="A49" s="22" t="s">
        <v>392</v>
      </c>
      <c r="B49" s="22" t="s">
        <v>275</v>
      </c>
      <c r="C49" s="22" t="str">
        <f>IFERROR(INDEX(Epics!$B$2:$B$100,MATCH(B49,Epics!$C$2:$C$100,0)),"")</f>
        <v>ML19</v>
      </c>
    </row>
    <row r="50" spans="1:3" ht="15" customHeight="1" x14ac:dyDescent="0.2">
      <c r="A50" s="22" t="s">
        <v>392</v>
      </c>
      <c r="B50" s="22" t="s">
        <v>278</v>
      </c>
      <c r="C50" s="22" t="str">
        <f>IFERROR(INDEX(Epics!$B$2:$B$100,MATCH(B50,Epics!$C$2:$C$100,0)),"")</f>
        <v>ML19</v>
      </c>
    </row>
    <row r="51" spans="1:3" ht="15" customHeight="1" x14ac:dyDescent="0.2">
      <c r="A51" s="22" t="s">
        <v>392</v>
      </c>
      <c r="B51" s="22" t="s">
        <v>266</v>
      </c>
      <c r="C51" s="22" t="str">
        <f>IFERROR(INDEX(Epics!$B$2:$B$100,MATCH(B51,Epics!$C$2:$C$100,0)),"")</f>
        <v>ML17</v>
      </c>
    </row>
    <row r="52" spans="1:3" ht="15" customHeight="1" x14ac:dyDescent="0.2">
      <c r="A52" s="22" t="s">
        <v>396</v>
      </c>
      <c r="B52" s="22" t="s">
        <v>221</v>
      </c>
      <c r="C52" s="22" t="str">
        <f>IFERROR(INDEX(Epics!$B$2:$B$100,MATCH(B52,Epics!$C$2:$C$100,0)),"")</f>
        <v>ML10</v>
      </c>
    </row>
    <row r="53" spans="1:3" ht="15" customHeight="1" x14ac:dyDescent="0.2">
      <c r="A53" s="22" t="s">
        <v>396</v>
      </c>
      <c r="B53" s="22" t="s">
        <v>266</v>
      </c>
      <c r="C53" s="22" t="str">
        <f>IFERROR(INDEX(Epics!$B$2:$B$100,MATCH(B53,Epics!$C$2:$C$100,0)),"")</f>
        <v>ML17</v>
      </c>
    </row>
    <row r="54" spans="1:3" ht="15" customHeight="1" x14ac:dyDescent="0.2">
      <c r="A54" s="22" t="s">
        <v>399</v>
      </c>
      <c r="B54" s="22" t="s">
        <v>224</v>
      </c>
      <c r="C54" s="22" t="str">
        <f>IFERROR(INDEX(Epics!$B$2:$B$100,MATCH(B54,Epics!$C$2:$C$100,0)),"")</f>
        <v>ML11</v>
      </c>
    </row>
    <row r="55" spans="1:3" ht="15" customHeight="1" x14ac:dyDescent="0.2">
      <c r="A55" s="22" t="s">
        <v>399</v>
      </c>
      <c r="B55" s="22" t="s">
        <v>227</v>
      </c>
      <c r="C55" s="22" t="str">
        <f>IFERROR(INDEX(Epics!$B$2:$B$100,MATCH(B55,Epics!$C$2:$C$100,0)),"")</f>
        <v>ML11</v>
      </c>
    </row>
    <row r="56" spans="1:3" ht="15" customHeight="1" x14ac:dyDescent="0.2">
      <c r="A56" s="22" t="s">
        <v>399</v>
      </c>
      <c r="B56" s="22" t="s">
        <v>310</v>
      </c>
      <c r="C56" s="22" t="str">
        <f>IFERROR(INDEX(Epics!$B$2:$B$100,MATCH(B56,Epics!$C$2:$C$100,0)),"")</f>
        <v>ML11</v>
      </c>
    </row>
    <row r="57" spans="1:3" ht="15" customHeight="1" x14ac:dyDescent="0.2">
      <c r="A57" s="22" t="s">
        <v>402</v>
      </c>
      <c r="B57" s="22" t="s">
        <v>230</v>
      </c>
      <c r="C57" s="22" t="str">
        <f>IFERROR(INDEX(Epics!$B$2:$B$100,MATCH(B57,Epics!$C$2:$C$100,0)),"")</f>
        <v>ML12</v>
      </c>
    </row>
    <row r="58" spans="1:3" ht="15" customHeight="1" x14ac:dyDescent="0.2">
      <c r="A58" s="22" t="s">
        <v>402</v>
      </c>
      <c r="B58" s="22" t="s">
        <v>233</v>
      </c>
      <c r="C58" s="22" t="str">
        <f>IFERROR(INDEX(Epics!$B$2:$B$100,MATCH(B58,Epics!$C$2:$C$100,0)),"")</f>
        <v>ML12</v>
      </c>
    </row>
    <row r="59" spans="1:3" x14ac:dyDescent="0.2">
      <c r="A59" s="22" t="s">
        <v>402</v>
      </c>
      <c r="B59" s="22" t="s">
        <v>236</v>
      </c>
      <c r="C59" s="22" t="str">
        <f>IFERROR(INDEX(Epics!$B$2:$B$100,MATCH(B59,Epics!$C$2:$C$100,0)),"")</f>
        <v>ML12</v>
      </c>
    </row>
    <row r="60" spans="1:3" x14ac:dyDescent="0.2">
      <c r="A60" s="22" t="s">
        <v>402</v>
      </c>
      <c r="B60" s="22" t="s">
        <v>313</v>
      </c>
      <c r="C60" s="22" t="str">
        <f>IFERROR(INDEX(Epics!$B$2:$B$100,MATCH(B60,Epics!$C$2:$C$100,0)),"")</f>
        <v>ML12</v>
      </c>
    </row>
    <row r="61" spans="1:3" x14ac:dyDescent="0.2">
      <c r="A61" s="22" t="s">
        <v>406</v>
      </c>
      <c r="B61" s="22" t="s">
        <v>239</v>
      </c>
      <c r="C61" s="22" t="str">
        <f>IFERROR(INDEX(Epics!$B$2:$B$100,MATCH(B61,Epics!$C$2:$C$100,0)),"")</f>
        <v>ML13</v>
      </c>
    </row>
    <row r="62" spans="1:3" x14ac:dyDescent="0.2">
      <c r="A62" s="22" t="s">
        <v>406</v>
      </c>
      <c r="B62" s="22" t="s">
        <v>242</v>
      </c>
      <c r="C62" s="22" t="str">
        <f>IFERROR(INDEX(Epics!$B$2:$B$100,MATCH(B62,Epics!$C$2:$C$100,0)),"")</f>
        <v>ML13</v>
      </c>
    </row>
    <row r="63" spans="1:3" x14ac:dyDescent="0.2">
      <c r="A63" s="22" t="s">
        <v>406</v>
      </c>
      <c r="B63" s="22" t="s">
        <v>245</v>
      </c>
      <c r="C63" s="22" t="str">
        <f>IFERROR(INDEX(Epics!$B$2:$B$100,MATCH(B63,Epics!$C$2:$C$100,0)),"")</f>
        <v>ML13</v>
      </c>
    </row>
    <row r="64" spans="1:3" x14ac:dyDescent="0.2">
      <c r="A64" s="22" t="s">
        <v>410</v>
      </c>
      <c r="B64" s="22" t="s">
        <v>281</v>
      </c>
      <c r="C64" s="22" t="str">
        <f>IFERROR(INDEX(Epics!$B$2:$B$100,MATCH(B64,Epics!$C$2:$C$100,0)),"")</f>
        <v>ML20</v>
      </c>
    </row>
    <row r="65" spans="1:3" x14ac:dyDescent="0.2">
      <c r="A65" s="22" t="s">
        <v>410</v>
      </c>
      <c r="B65" s="22" t="s">
        <v>283</v>
      </c>
      <c r="C65" s="22" t="str">
        <f>IFERROR(INDEX(Epics!$B$2:$B$100,MATCH(B65,Epics!$C$2:$C$100,0)),"")</f>
        <v>ML20</v>
      </c>
    </row>
    <row r="66" spans="1:3" x14ac:dyDescent="0.2">
      <c r="A66" s="22" t="s">
        <v>414</v>
      </c>
      <c r="B66" s="22" t="s">
        <v>286</v>
      </c>
      <c r="C66" s="22" t="str">
        <f>IFERROR(INDEX(Epics!$B$2:$B$100,MATCH(B66,Epics!$C$2:$C$100,0)),"")</f>
        <v>ML21</v>
      </c>
    </row>
    <row r="67" spans="1:3" x14ac:dyDescent="0.2">
      <c r="A67" s="22" t="s">
        <v>414</v>
      </c>
      <c r="B67" s="22" t="s">
        <v>289</v>
      </c>
      <c r="C67" s="22" t="str">
        <f>IFERROR(INDEX(Epics!$B$2:$B$100,MATCH(B67,Epics!$C$2:$C$100,0)),"")</f>
        <v>ML21</v>
      </c>
    </row>
    <row r="68" spans="1:3" x14ac:dyDescent="0.2">
      <c r="A68" s="22" t="s">
        <v>417</v>
      </c>
      <c r="B68" s="22" t="s">
        <v>292</v>
      </c>
      <c r="C68" s="22" t="str">
        <f>IFERROR(INDEX(Epics!$B$2:$B$100,MATCH(B68,Epics!$C$2:$C$100,0)),"")</f>
        <v>ML22</v>
      </c>
    </row>
    <row r="69" spans="1:3" x14ac:dyDescent="0.2">
      <c r="A69" s="22" t="s">
        <v>417</v>
      </c>
      <c r="B69" s="22" t="s">
        <v>295</v>
      </c>
      <c r="C69" s="22" t="str">
        <f>IFERROR(INDEX(Epics!$B$2:$B$100,MATCH(B69,Epics!$C$2:$C$100,0)),"")</f>
        <v>ML22</v>
      </c>
    </row>
    <row r="70" spans="1:3" x14ac:dyDescent="0.2">
      <c r="A70" s="22" t="s">
        <v>420</v>
      </c>
      <c r="B70" s="22" t="s">
        <v>298</v>
      </c>
      <c r="C70" s="22" t="str">
        <f>IFERROR(INDEX(Epics!$B$2:$B$100,MATCH(B70,Epics!$C$2:$C$100,0)),"")</f>
        <v>ML23</v>
      </c>
    </row>
    <row r="71" spans="1:3" x14ac:dyDescent="0.2">
      <c r="A71" s="22" t="s">
        <v>420</v>
      </c>
      <c r="B71" s="22" t="s">
        <v>301</v>
      </c>
      <c r="C71" s="22" t="str">
        <f>IFERROR(INDEX(Epics!$B$2:$B$100,MATCH(B71,Epics!$C$2:$C$100,0)),"")</f>
        <v>ML23</v>
      </c>
    </row>
    <row r="72" spans="1:3" x14ac:dyDescent="0.2">
      <c r="A72" s="22" t="s">
        <v>424</v>
      </c>
      <c r="B72" s="22" t="s">
        <v>304</v>
      </c>
      <c r="C72" s="22" t="str">
        <f>IFERROR(INDEX(Epics!$B$2:$B$100,MATCH(B72,Epics!$C$2:$C$100,0)),"")</f>
        <v>ML24</v>
      </c>
    </row>
  </sheetData>
  <pageMargins left="0.75" right="0.75" top="1" bottom="1" header="0.511811023622047" footer="0.511811023622047"/>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125"/>
  <sheetViews>
    <sheetView tabSelected="1" zoomScale="150" zoomScaleNormal="100" workbookViewId="0">
      <pane ySplit="1" topLeftCell="A19" activePane="bottomLeft" state="frozen"/>
      <selection pane="bottomLeft" activeCell="G21" sqref="G21"/>
    </sheetView>
  </sheetViews>
  <sheetFormatPr baseColWidth="10" defaultColWidth="8.6640625" defaultRowHeight="15" x14ac:dyDescent="0.2"/>
  <cols>
    <col min="1" max="2" width="10" customWidth="1"/>
    <col min="3" max="4" width="12" customWidth="1"/>
    <col min="5" max="5" width="10" customWidth="1"/>
    <col min="6" max="6" width="30" customWidth="1"/>
    <col min="7" max="7" width="55" customWidth="1"/>
    <col min="8" max="8" width="10" customWidth="1"/>
    <col min="9" max="9" width="14" customWidth="1"/>
    <col min="10" max="11" width="12" customWidth="1"/>
    <col min="12" max="12" width="16" customWidth="1"/>
    <col min="13" max="13" width="12" customWidth="1"/>
    <col min="14" max="14" width="30" customWidth="1"/>
    <col min="15" max="15" width="12" customWidth="1"/>
  </cols>
  <sheetData>
    <row r="1" spans="1:15" ht="30" customHeight="1" x14ac:dyDescent="0.2">
      <c r="A1" s="4" t="s">
        <v>427</v>
      </c>
      <c r="B1" s="4" t="s">
        <v>316</v>
      </c>
      <c r="C1" s="4" t="s">
        <v>137</v>
      </c>
      <c r="D1" s="4" t="s">
        <v>136</v>
      </c>
      <c r="E1" s="4" t="s">
        <v>2</v>
      </c>
      <c r="F1" s="4" t="s">
        <v>428</v>
      </c>
      <c r="G1" s="4" t="s">
        <v>4</v>
      </c>
      <c r="H1" s="4" t="s">
        <v>429</v>
      </c>
      <c r="I1" s="4" t="s">
        <v>430</v>
      </c>
      <c r="J1" s="4" t="s">
        <v>431</v>
      </c>
      <c r="K1" s="4" t="s">
        <v>432</v>
      </c>
      <c r="L1" s="4" t="s">
        <v>10</v>
      </c>
      <c r="M1" s="4" t="s">
        <v>433</v>
      </c>
      <c r="N1" s="4" t="s">
        <v>434</v>
      </c>
      <c r="O1" s="4" t="s">
        <v>9</v>
      </c>
    </row>
    <row r="2" spans="1:15" ht="57" customHeight="1" x14ac:dyDescent="0.2">
      <c r="A2" s="13" t="s">
        <v>435</v>
      </c>
      <c r="B2" s="13" t="s">
        <v>325</v>
      </c>
      <c r="C2" s="13" t="s">
        <v>139</v>
      </c>
      <c r="D2" s="13" t="str">
        <f>IFERROR(INDEX(Epics!$B$2:B$100,MATCH(C2,Epics!$C$2:C$100,0)),"")</f>
        <v>ML1</v>
      </c>
      <c r="E2" s="13" t="str">
        <f>IFERROR(INDEX(Milestones!$C$2:$C$25,MATCH(D2,Milestones!$B$2:$B$25,0)),"")</f>
        <v>PH1</v>
      </c>
      <c r="F2" s="13" t="s">
        <v>436</v>
      </c>
      <c r="G2" s="14" t="s">
        <v>437</v>
      </c>
      <c r="H2" s="13" t="s">
        <v>438</v>
      </c>
      <c r="I2" s="13"/>
      <c r="J2" s="13"/>
      <c r="K2" s="13"/>
      <c r="L2" s="13" t="s">
        <v>106</v>
      </c>
      <c r="M2" s="13"/>
      <c r="N2" s="13"/>
      <c r="O2" s="15">
        <f t="shared" ref="O2:O33" si="0">_xlfn.IFS(ISNUMBER(SEARCH("Done",L2)),100,ISNUMBER(SEARCH("In Progress",L2)),50,TRUE(),0)</f>
        <v>100</v>
      </c>
    </row>
    <row r="3" spans="1:15" ht="90.75" customHeight="1" x14ac:dyDescent="0.2">
      <c r="A3" s="13" t="s">
        <v>439</v>
      </c>
      <c r="B3" s="13" t="s">
        <v>325</v>
      </c>
      <c r="C3" s="13" t="s">
        <v>139</v>
      </c>
      <c r="D3" s="13" t="str">
        <f>IFERROR(INDEX(Epics!$B$2:B$100,MATCH(C3,Epics!$C$2:C$100,0)),"")</f>
        <v>ML1</v>
      </c>
      <c r="E3" s="13" t="str">
        <f>IFERROR(INDEX(Milestones!$C$2:$C$25,MATCH(D3,Milestones!$B$2:$B$25,0)),"")</f>
        <v>PH1</v>
      </c>
      <c r="F3" s="13" t="s">
        <v>440</v>
      </c>
      <c r="G3" s="14" t="s">
        <v>441</v>
      </c>
      <c r="H3" s="13" t="s">
        <v>438</v>
      </c>
      <c r="I3" s="13"/>
      <c r="J3" s="13"/>
      <c r="K3" s="13"/>
      <c r="L3" s="13" t="s">
        <v>106</v>
      </c>
      <c r="M3" s="13"/>
      <c r="N3" s="13" t="s">
        <v>435</v>
      </c>
      <c r="O3" s="15">
        <f t="shared" si="0"/>
        <v>100</v>
      </c>
    </row>
    <row r="4" spans="1:15" ht="68.25" customHeight="1" x14ac:dyDescent="0.2">
      <c r="A4" s="13" t="s">
        <v>442</v>
      </c>
      <c r="B4" s="13" t="s">
        <v>325</v>
      </c>
      <c r="C4" s="13" t="s">
        <v>139</v>
      </c>
      <c r="D4" s="13" t="str">
        <f>IFERROR(INDEX(Epics!$B$2:B$100,MATCH(C4,Epics!$C$2:C$100,0)),"")</f>
        <v>ML1</v>
      </c>
      <c r="E4" s="13" t="str">
        <f>IFERROR(INDEX(Milestones!$C$2:$C$25,MATCH(D4,Milestones!$B$2:$B$25,0)),"")</f>
        <v>PH1</v>
      </c>
      <c r="F4" s="13" t="s">
        <v>443</v>
      </c>
      <c r="G4" s="14" t="s">
        <v>444</v>
      </c>
      <c r="H4" s="13" t="s">
        <v>438</v>
      </c>
      <c r="I4" s="13"/>
      <c r="J4" s="13"/>
      <c r="K4" s="13"/>
      <c r="L4" s="13" t="s">
        <v>106</v>
      </c>
      <c r="M4" s="13"/>
      <c r="N4" s="13" t="s">
        <v>439</v>
      </c>
      <c r="O4" s="15">
        <f t="shared" si="0"/>
        <v>100</v>
      </c>
    </row>
    <row r="5" spans="1:15" ht="57" customHeight="1" x14ac:dyDescent="0.2">
      <c r="A5" s="13" t="s">
        <v>445</v>
      </c>
      <c r="B5" s="13" t="s">
        <v>325</v>
      </c>
      <c r="C5" s="13" t="s">
        <v>139</v>
      </c>
      <c r="D5" s="13" t="str">
        <f>IFERROR(INDEX(Epics!$B$2:B$100,MATCH(C5,Epics!$C$2:C$100,0)),"")</f>
        <v>ML1</v>
      </c>
      <c r="E5" s="13" t="str">
        <f>IFERROR(INDEX(Milestones!$C$2:$C$25,MATCH(D5,Milestones!$B$2:$B$25,0)),"")</f>
        <v>PH1</v>
      </c>
      <c r="F5" s="13" t="s">
        <v>446</v>
      </c>
      <c r="G5" s="14" t="s">
        <v>447</v>
      </c>
      <c r="H5" s="13" t="s">
        <v>438</v>
      </c>
      <c r="I5" s="13"/>
      <c r="J5" s="13"/>
      <c r="K5" s="13"/>
      <c r="L5" s="13" t="s">
        <v>106</v>
      </c>
      <c r="M5" s="13"/>
      <c r="N5" s="13" t="s">
        <v>442</v>
      </c>
      <c r="O5" s="15">
        <f t="shared" si="0"/>
        <v>100</v>
      </c>
    </row>
    <row r="6" spans="1:15" ht="68.25" customHeight="1" x14ac:dyDescent="0.2">
      <c r="A6" s="13" t="s">
        <v>448</v>
      </c>
      <c r="B6" s="13" t="s">
        <v>325</v>
      </c>
      <c r="C6" s="13" t="s">
        <v>139</v>
      </c>
      <c r="D6" s="13" t="str">
        <f>IFERROR(INDEX(Epics!$B$2:B$100,MATCH(C6,Epics!$C$2:C$100,0)),"")</f>
        <v>ML1</v>
      </c>
      <c r="E6" s="13" t="str">
        <f>IFERROR(INDEX(Milestones!$C$2:$C$25,MATCH(D6,Milestones!$B$2:$B$25,0)),"")</f>
        <v>PH1</v>
      </c>
      <c r="F6" s="13" t="s">
        <v>449</v>
      </c>
      <c r="G6" s="14" t="s">
        <v>450</v>
      </c>
      <c r="H6" s="13" t="s">
        <v>438</v>
      </c>
      <c r="I6" s="13"/>
      <c r="J6" s="13"/>
      <c r="K6" s="13"/>
      <c r="L6" s="13" t="s">
        <v>106</v>
      </c>
      <c r="M6" s="13"/>
      <c r="N6" s="13" t="s">
        <v>442</v>
      </c>
      <c r="O6" s="15">
        <f t="shared" si="0"/>
        <v>100</v>
      </c>
    </row>
    <row r="7" spans="1:15" ht="57" customHeight="1" x14ac:dyDescent="0.2">
      <c r="A7" s="13" t="s">
        <v>451</v>
      </c>
      <c r="B7" s="13" t="s">
        <v>325</v>
      </c>
      <c r="C7" s="13" t="s">
        <v>139</v>
      </c>
      <c r="D7" s="13" t="str">
        <f>IFERROR(INDEX(Epics!$B$2:B$100,MATCH(C7,Epics!$C$2:C$100,0)),"")</f>
        <v>ML1</v>
      </c>
      <c r="E7" s="13" t="str">
        <f>IFERROR(INDEX(Milestones!$C$2:$C$25,MATCH(D7,Milestones!$B$2:$B$25,0)),"")</f>
        <v>PH1</v>
      </c>
      <c r="F7" s="13" t="s">
        <v>452</v>
      </c>
      <c r="G7" s="14" t="s">
        <v>453</v>
      </c>
      <c r="H7" s="13" t="s">
        <v>438</v>
      </c>
      <c r="I7" s="13"/>
      <c r="J7" s="13"/>
      <c r="K7" s="13"/>
      <c r="L7" s="13" t="s">
        <v>106</v>
      </c>
      <c r="M7" s="13"/>
      <c r="N7" s="13" t="s">
        <v>435</v>
      </c>
      <c r="O7" s="15">
        <f t="shared" si="0"/>
        <v>100</v>
      </c>
    </row>
    <row r="8" spans="1:15" ht="57" customHeight="1" x14ac:dyDescent="0.2">
      <c r="A8" s="13" t="s">
        <v>454</v>
      </c>
      <c r="B8" s="13" t="s">
        <v>325</v>
      </c>
      <c r="C8" s="13" t="s">
        <v>139</v>
      </c>
      <c r="D8" s="13" t="str">
        <f>IFERROR(INDEX(Epics!$B$2:B$100,MATCH(C8,Epics!$C$2:C$100,0)),"")</f>
        <v>ML1</v>
      </c>
      <c r="E8" s="13" t="str">
        <f>IFERROR(INDEX(Milestones!$C$2:$C$25,MATCH(D8,Milestones!$B$2:$B$25,0)),"")</f>
        <v>PH1</v>
      </c>
      <c r="F8" s="13" t="s">
        <v>455</v>
      </c>
      <c r="G8" s="14" t="s">
        <v>456</v>
      </c>
      <c r="H8" s="13" t="s">
        <v>438</v>
      </c>
      <c r="I8" s="13"/>
      <c r="J8" s="13"/>
      <c r="K8" s="13"/>
      <c r="L8" s="13" t="s">
        <v>106</v>
      </c>
      <c r="M8" s="13"/>
      <c r="N8" s="13" t="s">
        <v>442</v>
      </c>
      <c r="O8" s="15">
        <f t="shared" si="0"/>
        <v>100</v>
      </c>
    </row>
    <row r="9" spans="1:15" ht="57" customHeight="1" x14ac:dyDescent="0.2">
      <c r="A9" s="13" t="s">
        <v>457</v>
      </c>
      <c r="B9" s="13" t="s">
        <v>325</v>
      </c>
      <c r="C9" s="13" t="s">
        <v>139</v>
      </c>
      <c r="D9" s="13" t="str">
        <f>IFERROR(INDEX(Epics!$B$2:B$100,MATCH(C9,Epics!$C$2:C$100,0)),"")</f>
        <v>ML1</v>
      </c>
      <c r="E9" s="13" t="str">
        <f>IFERROR(INDEX(Milestones!$C$2:$C$25,MATCH(D9,Milestones!$B$2:$B$25,0)),"")</f>
        <v>PH1</v>
      </c>
      <c r="F9" s="13" t="s">
        <v>458</v>
      </c>
      <c r="G9" s="14" t="s">
        <v>459</v>
      </c>
      <c r="H9" s="13" t="s">
        <v>460</v>
      </c>
      <c r="I9" s="13"/>
      <c r="J9" s="13"/>
      <c r="K9" s="13"/>
      <c r="L9" s="13" t="s">
        <v>106</v>
      </c>
      <c r="M9" s="13"/>
      <c r="N9" s="13" t="s">
        <v>439</v>
      </c>
      <c r="O9" s="15">
        <f t="shared" si="0"/>
        <v>100</v>
      </c>
    </row>
    <row r="10" spans="1:15" ht="57" customHeight="1" x14ac:dyDescent="0.2">
      <c r="A10" s="13" t="s">
        <v>461</v>
      </c>
      <c r="B10" s="13" t="s">
        <v>325</v>
      </c>
      <c r="C10" s="13" t="s">
        <v>139</v>
      </c>
      <c r="D10" s="13" t="str">
        <f>IFERROR(INDEX(Epics!$B$2:B$100,MATCH(C10,Epics!$C$2:C$100,0)),"")</f>
        <v>ML1</v>
      </c>
      <c r="E10" s="13" t="str">
        <f>IFERROR(INDEX(Milestones!$C$2:$C$25,MATCH(D10,Milestones!$B$2:$B$25,0)),"")</f>
        <v>PH1</v>
      </c>
      <c r="F10" s="13" t="s">
        <v>462</v>
      </c>
      <c r="G10" s="14" t="s">
        <v>463</v>
      </c>
      <c r="H10" s="13" t="s">
        <v>438</v>
      </c>
      <c r="I10" s="13"/>
      <c r="J10" s="13"/>
      <c r="K10" s="13"/>
      <c r="L10" s="13" t="s">
        <v>106</v>
      </c>
      <c r="M10" s="13"/>
      <c r="N10" s="13" t="s">
        <v>435</v>
      </c>
      <c r="O10" s="15">
        <f t="shared" si="0"/>
        <v>100</v>
      </c>
    </row>
    <row r="11" spans="1:15" ht="135.75" customHeight="1" x14ac:dyDescent="0.2">
      <c r="A11" s="13" t="s">
        <v>464</v>
      </c>
      <c r="B11" s="13" t="s">
        <v>325</v>
      </c>
      <c r="C11" s="13" t="s">
        <v>139</v>
      </c>
      <c r="D11" s="13" t="str">
        <f>IFERROR(INDEX(Epics!$B$2:B$100,MATCH(C11,Epics!$C$2:C$100,0)),"")</f>
        <v>ML1</v>
      </c>
      <c r="E11" s="13" t="str">
        <f>IFERROR(INDEX(Milestones!$C$2:$C$25,MATCH(D11,Milestones!$B$2:$B$25,0)),"")</f>
        <v>PH1</v>
      </c>
      <c r="F11" s="13" t="s">
        <v>465</v>
      </c>
      <c r="G11" s="14" t="s">
        <v>466</v>
      </c>
      <c r="H11" s="13" t="s">
        <v>438</v>
      </c>
      <c r="I11" s="13"/>
      <c r="J11" s="13"/>
      <c r="K11" s="13"/>
      <c r="L11" s="13" t="s">
        <v>106</v>
      </c>
      <c r="M11" s="13"/>
      <c r="N11" s="13" t="s">
        <v>461</v>
      </c>
      <c r="O11" s="15">
        <f t="shared" si="0"/>
        <v>100</v>
      </c>
    </row>
    <row r="12" spans="1:15" ht="68.25" customHeight="1" x14ac:dyDescent="0.2">
      <c r="A12" s="13" t="s">
        <v>467</v>
      </c>
      <c r="B12" s="13" t="s">
        <v>325</v>
      </c>
      <c r="C12" s="13" t="s">
        <v>139</v>
      </c>
      <c r="D12" s="13" t="str">
        <f>IFERROR(INDEX(Epics!$B$2:B$100,MATCH(C12,Epics!$C$2:C$100,0)),"")</f>
        <v>ML1</v>
      </c>
      <c r="E12" s="13" t="str">
        <f>IFERROR(INDEX(Milestones!$C$2:$C$25,MATCH(D12,Milestones!$B$2:$B$25,0)),"")</f>
        <v>PH1</v>
      </c>
      <c r="F12" s="13" t="s">
        <v>468</v>
      </c>
      <c r="G12" s="14" t="s">
        <v>469</v>
      </c>
      <c r="H12" s="13" t="s">
        <v>460</v>
      </c>
      <c r="I12" s="13"/>
      <c r="J12" s="13"/>
      <c r="K12" s="13"/>
      <c r="L12" s="13" t="s">
        <v>106</v>
      </c>
      <c r="M12" s="13"/>
      <c r="N12" s="13" t="s">
        <v>439</v>
      </c>
      <c r="O12" s="15">
        <f t="shared" si="0"/>
        <v>100</v>
      </c>
    </row>
    <row r="13" spans="1:15" ht="79.5" customHeight="1" x14ac:dyDescent="0.2">
      <c r="A13" s="13" t="s">
        <v>470</v>
      </c>
      <c r="B13" s="13" t="s">
        <v>325</v>
      </c>
      <c r="C13" s="13" t="s">
        <v>139</v>
      </c>
      <c r="D13" s="13" t="str">
        <f>IFERROR(INDEX(Epics!$B$2:B$100,MATCH(C13,Epics!$C$2:C$100,0)),"")</f>
        <v>ML1</v>
      </c>
      <c r="E13" s="13" t="str">
        <f>IFERROR(INDEX(Milestones!$C$2:$C$25,MATCH(D13,Milestones!$B$2:$B$25,0)),"")</f>
        <v>PH1</v>
      </c>
      <c r="F13" s="13" t="s">
        <v>471</v>
      </c>
      <c r="G13" s="14" t="s">
        <v>472</v>
      </c>
      <c r="H13" s="13" t="s">
        <v>460</v>
      </c>
      <c r="I13" s="13"/>
      <c r="J13" s="13"/>
      <c r="K13" s="13"/>
      <c r="L13" s="13" t="s">
        <v>106</v>
      </c>
      <c r="M13" s="13"/>
      <c r="N13" s="13" t="s">
        <v>442</v>
      </c>
      <c r="O13" s="15">
        <f t="shared" si="0"/>
        <v>100</v>
      </c>
    </row>
    <row r="14" spans="1:15" ht="113.25" customHeight="1" x14ac:dyDescent="0.2">
      <c r="A14" s="13" t="s">
        <v>473</v>
      </c>
      <c r="B14" s="13" t="s">
        <v>325</v>
      </c>
      <c r="C14" s="13" t="s">
        <v>139</v>
      </c>
      <c r="D14" s="13" t="str">
        <f>IFERROR(INDEX(Epics!$B$2:B$100,MATCH(C14,Epics!$C$2:C$100,0)),"")</f>
        <v>ML1</v>
      </c>
      <c r="E14" s="13" t="str">
        <f>IFERROR(INDEX(Milestones!$C$2:$C$25,MATCH(D14,Milestones!$B$2:$B$25,0)),"")</f>
        <v>PH1</v>
      </c>
      <c r="F14" s="13" t="s">
        <v>474</v>
      </c>
      <c r="G14" s="14" t="s">
        <v>475</v>
      </c>
      <c r="H14" s="13" t="s">
        <v>460</v>
      </c>
      <c r="I14" s="13"/>
      <c r="J14" s="13"/>
      <c r="K14" s="13"/>
      <c r="L14" s="13" t="s">
        <v>106</v>
      </c>
      <c r="M14" s="13"/>
      <c r="N14" s="13" t="s">
        <v>470</v>
      </c>
      <c r="O14" s="15">
        <f t="shared" si="0"/>
        <v>100</v>
      </c>
    </row>
    <row r="15" spans="1:15" ht="147" customHeight="1" x14ac:dyDescent="0.2">
      <c r="A15" s="13" t="s">
        <v>476</v>
      </c>
      <c r="B15" s="13" t="s">
        <v>325</v>
      </c>
      <c r="C15" s="13" t="s">
        <v>139</v>
      </c>
      <c r="D15" s="13" t="str">
        <f>IFERROR(INDEX(Epics!$B$2:B$100,MATCH(C15,Epics!$C$2:C$100,0)),"")</f>
        <v>ML1</v>
      </c>
      <c r="E15" s="13" t="str">
        <f>IFERROR(INDEX(Milestones!$C$2:$C$25,MATCH(D15,Milestones!$B$2:$B$25,0)),"")</f>
        <v>PH1</v>
      </c>
      <c r="F15" s="13" t="s">
        <v>477</v>
      </c>
      <c r="G15" s="14" t="s">
        <v>478</v>
      </c>
      <c r="H15" s="13" t="s">
        <v>460</v>
      </c>
      <c r="I15" s="13"/>
      <c r="J15" s="13"/>
      <c r="K15" s="13"/>
      <c r="L15" s="13" t="s">
        <v>106</v>
      </c>
      <c r="M15" s="13"/>
      <c r="N15" s="13" t="s">
        <v>457</v>
      </c>
      <c r="O15" s="15">
        <f t="shared" si="0"/>
        <v>100</v>
      </c>
    </row>
    <row r="16" spans="1:15" ht="124.5" customHeight="1" x14ac:dyDescent="0.2">
      <c r="A16" s="13" t="s">
        <v>479</v>
      </c>
      <c r="B16" s="13" t="s">
        <v>325</v>
      </c>
      <c r="C16" s="13" t="s">
        <v>139</v>
      </c>
      <c r="D16" s="13" t="str">
        <f>IFERROR(INDEX(Epics!$B$2:B$100,MATCH(C16,Epics!$C$2:C$100,0)),"")</f>
        <v>ML1</v>
      </c>
      <c r="E16" s="13" t="str">
        <f>IFERROR(INDEX(Milestones!$C$2:$C$25,MATCH(D16,Milestones!$B$2:$B$25,0)),"")</f>
        <v>PH1</v>
      </c>
      <c r="F16" s="13" t="s">
        <v>480</v>
      </c>
      <c r="G16" s="14" t="s">
        <v>481</v>
      </c>
      <c r="H16" s="13" t="s">
        <v>460</v>
      </c>
      <c r="I16" s="13"/>
      <c r="J16" s="13"/>
      <c r="K16" s="13"/>
      <c r="L16" s="13" t="s">
        <v>106</v>
      </c>
      <c r="M16" s="13"/>
      <c r="N16" s="13" t="s">
        <v>435</v>
      </c>
      <c r="O16" s="15">
        <f t="shared" si="0"/>
        <v>100</v>
      </c>
    </row>
    <row r="17" spans="1:15" ht="102" customHeight="1" x14ac:dyDescent="0.2">
      <c r="A17" s="13" t="s">
        <v>482</v>
      </c>
      <c r="B17" s="13" t="s">
        <v>325</v>
      </c>
      <c r="C17" s="13" t="s">
        <v>139</v>
      </c>
      <c r="D17" s="13" t="str">
        <f>IFERROR(INDEX(Epics!$B$2:B$100,MATCH(C17,Epics!$C$2:C$100,0)),"")</f>
        <v>ML1</v>
      </c>
      <c r="E17" s="13" t="str">
        <f>IFERROR(INDEX(Milestones!$C$2:$C$25,MATCH(D17,Milestones!$B$2:$B$25,0)),"")</f>
        <v>PH1</v>
      </c>
      <c r="F17" s="13" t="s">
        <v>483</v>
      </c>
      <c r="G17" s="14" t="s">
        <v>484</v>
      </c>
      <c r="H17" s="13" t="s">
        <v>460</v>
      </c>
      <c r="I17" s="13"/>
      <c r="J17" s="13"/>
      <c r="K17" s="13"/>
      <c r="L17" s="13" t="s">
        <v>106</v>
      </c>
      <c r="M17" s="13"/>
      <c r="N17" s="13" t="s">
        <v>435</v>
      </c>
      <c r="O17" s="15">
        <f t="shared" si="0"/>
        <v>100</v>
      </c>
    </row>
    <row r="18" spans="1:15" ht="102" customHeight="1" x14ac:dyDescent="0.2">
      <c r="A18" s="13" t="s">
        <v>485</v>
      </c>
      <c r="B18" s="13" t="s">
        <v>325</v>
      </c>
      <c r="C18" s="13" t="s">
        <v>139</v>
      </c>
      <c r="D18" s="13" t="str">
        <f>IFERROR(INDEX(Epics!$B$2:B$100,MATCH(C18,Epics!$C$2:C$100,0)),"")</f>
        <v>ML1</v>
      </c>
      <c r="E18" s="13" t="str">
        <f>IFERROR(INDEX(Milestones!$C$2:$C$25,MATCH(D18,Milestones!$B$2:$B$25,0)),"")</f>
        <v>PH1</v>
      </c>
      <c r="F18" s="13" t="s">
        <v>486</v>
      </c>
      <c r="G18" s="14" t="s">
        <v>487</v>
      </c>
      <c r="H18" s="13" t="s">
        <v>460</v>
      </c>
      <c r="I18" s="13"/>
      <c r="J18" s="13"/>
      <c r="K18" s="13"/>
      <c r="L18" s="13" t="s">
        <v>106</v>
      </c>
      <c r="M18" s="13"/>
      <c r="N18" s="13" t="s">
        <v>435</v>
      </c>
      <c r="O18" s="15">
        <f t="shared" si="0"/>
        <v>100</v>
      </c>
    </row>
    <row r="19" spans="1:15" ht="135.75" customHeight="1" x14ac:dyDescent="0.2">
      <c r="A19" s="13" t="s">
        <v>488</v>
      </c>
      <c r="B19" s="13" t="s">
        <v>325</v>
      </c>
      <c r="C19" s="13" t="s">
        <v>139</v>
      </c>
      <c r="D19" s="13" t="str">
        <f>IFERROR(INDEX(Epics!$B$2:B$100,MATCH(C19,Epics!$C$2:C$100,0)),"")</f>
        <v>ML1</v>
      </c>
      <c r="E19" s="13" t="str">
        <f>IFERROR(INDEX(Milestones!$C$2:$C$25,MATCH(D19,Milestones!$B$2:$B$25,0)),"")</f>
        <v>PH1</v>
      </c>
      <c r="F19" s="13" t="s">
        <v>489</v>
      </c>
      <c r="G19" s="14" t="s">
        <v>490</v>
      </c>
      <c r="H19" s="13" t="s">
        <v>491</v>
      </c>
      <c r="I19" s="13"/>
      <c r="J19" s="13"/>
      <c r="K19" s="13"/>
      <c r="L19" s="13" t="s">
        <v>106</v>
      </c>
      <c r="M19" s="13"/>
      <c r="N19" s="13" t="s">
        <v>492</v>
      </c>
      <c r="O19" s="15">
        <f t="shared" si="0"/>
        <v>100</v>
      </c>
    </row>
    <row r="20" spans="1:15" ht="116.5" customHeight="1" x14ac:dyDescent="0.2">
      <c r="A20" s="13" t="s">
        <v>493</v>
      </c>
      <c r="B20" s="13" t="s">
        <v>328</v>
      </c>
      <c r="C20" s="13" t="s">
        <v>141</v>
      </c>
      <c r="D20" s="13" t="str">
        <f>IFERROR(INDEX(Epics!$B$2:$B$100,MATCH(C20,Epics!$C$2:$C$100,0)),"")</f>
        <v>ML2</v>
      </c>
      <c r="E20" s="13" t="str">
        <f>IFERROR(INDEX(Milestones!$C$2:$C$25,MATCH(D20,Milestones!$B$2:$B$25,0)),"")</f>
        <v>PH2</v>
      </c>
      <c r="F20" s="13" t="s">
        <v>494</v>
      </c>
      <c r="G20" s="14" t="s">
        <v>912</v>
      </c>
      <c r="H20" s="13" t="s">
        <v>438</v>
      </c>
      <c r="I20" s="13"/>
      <c r="J20" s="13"/>
      <c r="K20" s="13"/>
      <c r="L20" s="13" t="s">
        <v>131</v>
      </c>
      <c r="M20" s="13"/>
      <c r="N20" s="13" t="s">
        <v>495</v>
      </c>
      <c r="O20" s="15">
        <f t="shared" si="0"/>
        <v>0</v>
      </c>
    </row>
    <row r="21" spans="1:15" ht="109.5" customHeight="1" x14ac:dyDescent="0.2">
      <c r="A21" s="13" t="s">
        <v>496</v>
      </c>
      <c r="B21" s="13" t="s">
        <v>328</v>
      </c>
      <c r="C21" s="13" t="s">
        <v>144</v>
      </c>
      <c r="D21" s="13" t="str">
        <f>IFERROR(INDEX(Epics!$B$2:$B$100,MATCH(C21,Epics!$C$2:$C$100,0)),"")</f>
        <v>ML2</v>
      </c>
      <c r="E21" s="13" t="str">
        <f>IFERROR(INDEX(Milestones!$C$2:$C$25,MATCH(D21,Milestones!$B$2:$B$25,0)),"")</f>
        <v>PH2</v>
      </c>
      <c r="F21" s="13" t="s">
        <v>497</v>
      </c>
      <c r="G21" s="14" t="s">
        <v>498</v>
      </c>
      <c r="H21" s="13" t="s">
        <v>438</v>
      </c>
      <c r="I21" s="13"/>
      <c r="J21" s="13"/>
      <c r="K21" s="13"/>
      <c r="L21" s="13" t="s">
        <v>131</v>
      </c>
      <c r="M21" s="13"/>
      <c r="N21" s="13" t="s">
        <v>493</v>
      </c>
      <c r="O21" s="15">
        <f t="shared" si="0"/>
        <v>0</v>
      </c>
    </row>
    <row r="22" spans="1:15" ht="94.25" customHeight="1" x14ac:dyDescent="0.2">
      <c r="A22" s="13" t="s">
        <v>499</v>
      </c>
      <c r="B22" s="13" t="s">
        <v>328</v>
      </c>
      <c r="C22" s="13" t="s">
        <v>144</v>
      </c>
      <c r="D22" s="13" t="str">
        <f>IFERROR(INDEX(Epics!$B$2:$B$100,MATCH(C22,Epics!$C$2:$C$100,0)),"")</f>
        <v>ML2</v>
      </c>
      <c r="E22" s="13" t="str">
        <f>IFERROR(INDEX(Milestones!$C$2:$C$25,MATCH(D22,Milestones!$B$2:$B$25,0)),"")</f>
        <v>PH2</v>
      </c>
      <c r="F22" s="13" t="s">
        <v>500</v>
      </c>
      <c r="G22" s="14" t="s">
        <v>501</v>
      </c>
      <c r="H22" s="13" t="s">
        <v>460</v>
      </c>
      <c r="I22" s="13"/>
      <c r="J22" s="13"/>
      <c r="K22" s="13"/>
      <c r="L22" s="13" t="s">
        <v>131</v>
      </c>
      <c r="M22" s="13"/>
      <c r="N22" s="13" t="s">
        <v>496</v>
      </c>
      <c r="O22" s="15">
        <f t="shared" si="0"/>
        <v>0</v>
      </c>
    </row>
    <row r="23" spans="1:15" ht="84.75" customHeight="1" x14ac:dyDescent="0.2">
      <c r="A23" s="13" t="s">
        <v>502</v>
      </c>
      <c r="B23" s="13" t="s">
        <v>328</v>
      </c>
      <c r="C23" s="13" t="s">
        <v>248</v>
      </c>
      <c r="D23" s="13" t="str">
        <f>IFERROR(INDEX(Epics!$B$2:$B$100,MATCH(C23,Epics!$C$2:$C$100,0)),"")</f>
        <v>ML14</v>
      </c>
      <c r="E23" s="13" t="str">
        <f>IFERROR(INDEX(Milestones!$C$2:$C$25,MATCH(D23,Milestones!$B$2:$B$25,0)),"")</f>
        <v>PH2</v>
      </c>
      <c r="F23" s="13" t="s">
        <v>503</v>
      </c>
      <c r="G23" s="14" t="s">
        <v>504</v>
      </c>
      <c r="H23" s="13" t="s">
        <v>438</v>
      </c>
      <c r="I23" s="13"/>
      <c r="J23" s="13"/>
      <c r="K23" s="13"/>
      <c r="L23" s="13" t="s">
        <v>131</v>
      </c>
      <c r="M23" s="13"/>
      <c r="N23" s="13"/>
      <c r="O23" s="15">
        <f t="shared" si="0"/>
        <v>0</v>
      </c>
    </row>
    <row r="24" spans="1:15" ht="77.5" customHeight="1" x14ac:dyDescent="0.2">
      <c r="A24" s="13" t="s">
        <v>505</v>
      </c>
      <c r="B24" s="13" t="s">
        <v>328</v>
      </c>
      <c r="C24" s="13" t="s">
        <v>257</v>
      </c>
      <c r="D24" s="13" t="str">
        <f>IFERROR(INDEX(Epics!$B$2:$B$100,MATCH(C24,Epics!$C$2:$C$100,0)),"")</f>
        <v>ML15</v>
      </c>
      <c r="E24" s="13" t="str">
        <f>IFERROR(INDEX(Milestones!$C$2:$C$25,MATCH(D24,Milestones!$B$2:$B$25,0)),"")</f>
        <v>PH2</v>
      </c>
      <c r="F24" s="13" t="s">
        <v>506</v>
      </c>
      <c r="G24" s="14" t="s">
        <v>507</v>
      </c>
      <c r="H24" s="13" t="s">
        <v>438</v>
      </c>
      <c r="I24" s="13"/>
      <c r="J24" s="13"/>
      <c r="K24" s="13"/>
      <c r="L24" s="13" t="s">
        <v>131</v>
      </c>
      <c r="M24" s="13"/>
      <c r="N24" s="13" t="s">
        <v>502</v>
      </c>
      <c r="O24" s="15">
        <f t="shared" si="0"/>
        <v>0</v>
      </c>
    </row>
    <row r="25" spans="1:15" ht="103.75" customHeight="1" x14ac:dyDescent="0.2">
      <c r="A25" s="13" t="s">
        <v>508</v>
      </c>
      <c r="B25" s="13" t="s">
        <v>328</v>
      </c>
      <c r="C25" s="13" t="s">
        <v>257</v>
      </c>
      <c r="D25" s="13" t="str">
        <f>IFERROR(INDEX(Epics!$B$2:$B$100,MATCH(C25,Epics!$C$2:$C$100,0)),"")</f>
        <v>ML15</v>
      </c>
      <c r="E25" s="13" t="str">
        <f>IFERROR(INDEX(Milestones!$C$2:$C$25,MATCH(D25,Milestones!$B$2:$B$25,0)),"")</f>
        <v>PH2</v>
      </c>
      <c r="F25" s="13" t="s">
        <v>509</v>
      </c>
      <c r="G25" s="14" t="s">
        <v>510</v>
      </c>
      <c r="H25" s="13" t="s">
        <v>438</v>
      </c>
      <c r="I25" s="13"/>
      <c r="J25" s="13"/>
      <c r="K25" s="13"/>
      <c r="L25" s="13" t="s">
        <v>131</v>
      </c>
      <c r="M25" s="13"/>
      <c r="N25" s="13" t="s">
        <v>511</v>
      </c>
      <c r="O25" s="15">
        <f t="shared" si="0"/>
        <v>0</v>
      </c>
    </row>
    <row r="26" spans="1:15" ht="94" customHeight="1" x14ac:dyDescent="0.2">
      <c r="A26" s="13" t="s">
        <v>512</v>
      </c>
      <c r="B26" s="13" t="s">
        <v>328</v>
      </c>
      <c r="C26" s="13" t="s">
        <v>257</v>
      </c>
      <c r="D26" s="13" t="str">
        <f>IFERROR(INDEX(Epics!$B$2:$B$100,MATCH(C26,Epics!$C$2:$C$100,0)),"")</f>
        <v>ML15</v>
      </c>
      <c r="E26" s="13" t="str">
        <f>IFERROR(INDEX(Milestones!$C$2:$C$25,MATCH(D26,Milestones!$B$2:$B$25,0)),"")</f>
        <v>PH2</v>
      </c>
      <c r="F26" s="13" t="s">
        <v>513</v>
      </c>
      <c r="G26" s="14" t="s">
        <v>514</v>
      </c>
      <c r="H26" s="13" t="s">
        <v>460</v>
      </c>
      <c r="I26" s="13"/>
      <c r="J26" s="13"/>
      <c r="K26" s="13"/>
      <c r="L26" s="13" t="s">
        <v>131</v>
      </c>
      <c r="M26" s="13"/>
      <c r="N26" s="13" t="s">
        <v>515</v>
      </c>
      <c r="O26" s="15">
        <f t="shared" si="0"/>
        <v>0</v>
      </c>
    </row>
    <row r="27" spans="1:15" ht="92.25" customHeight="1" x14ac:dyDescent="0.2">
      <c r="A27" s="13" t="s">
        <v>516</v>
      </c>
      <c r="B27" s="13" t="s">
        <v>332</v>
      </c>
      <c r="C27" s="13" t="s">
        <v>147</v>
      </c>
      <c r="D27" s="13" t="str">
        <f>IFERROR(INDEX(Epics!$B$2:$B$100,MATCH(C27,Epics!$C$2:$C$100,0)),"")</f>
        <v>ML2</v>
      </c>
      <c r="E27" s="13" t="str">
        <f>IFERROR(INDEX(Milestones!$C$2:$C$25,MATCH(D27,Milestones!$B$2:$B$25,0)),"")</f>
        <v>PH2</v>
      </c>
      <c r="F27" s="13" t="s">
        <v>517</v>
      </c>
      <c r="G27" s="14" t="s">
        <v>518</v>
      </c>
      <c r="H27" s="13" t="s">
        <v>438</v>
      </c>
      <c r="I27" s="13"/>
      <c r="J27" s="13"/>
      <c r="K27" s="13"/>
      <c r="L27" s="13" t="s">
        <v>131</v>
      </c>
      <c r="M27" s="13"/>
      <c r="N27" s="13" t="s">
        <v>496</v>
      </c>
      <c r="O27" s="15">
        <f t="shared" si="0"/>
        <v>0</v>
      </c>
    </row>
    <row r="28" spans="1:15" ht="87" customHeight="1" x14ac:dyDescent="0.2">
      <c r="A28" s="13" t="s">
        <v>519</v>
      </c>
      <c r="B28" s="13" t="s">
        <v>332</v>
      </c>
      <c r="C28" s="13" t="s">
        <v>150</v>
      </c>
      <c r="D28" s="13" t="str">
        <f>IFERROR(INDEX(Epics!$B$2:$B$100,MATCH(C28,Epics!$C$2:$C$100,0)),"")</f>
        <v>ML2</v>
      </c>
      <c r="E28" s="13" t="str">
        <f>IFERROR(INDEX(Milestones!$C$2:$C$25,MATCH(D28,Milestones!$B$2:$B$25,0)),"")</f>
        <v>PH2</v>
      </c>
      <c r="F28" s="13" t="s">
        <v>520</v>
      </c>
      <c r="G28" s="14" t="s">
        <v>521</v>
      </c>
      <c r="H28" s="13" t="s">
        <v>438</v>
      </c>
      <c r="I28" s="13"/>
      <c r="J28" s="13"/>
      <c r="K28" s="13"/>
      <c r="L28" s="13" t="s">
        <v>131</v>
      </c>
      <c r="M28" s="13"/>
      <c r="N28" s="13" t="s">
        <v>522</v>
      </c>
      <c r="O28" s="15">
        <f t="shared" si="0"/>
        <v>0</v>
      </c>
    </row>
    <row r="29" spans="1:15" ht="79.25" customHeight="1" x14ac:dyDescent="0.2">
      <c r="A29" s="13" t="s">
        <v>523</v>
      </c>
      <c r="B29" s="13" t="s">
        <v>332</v>
      </c>
      <c r="C29" s="13" t="s">
        <v>260</v>
      </c>
      <c r="D29" s="13" t="str">
        <f>IFERROR(INDEX(Epics!$B$2:$B$100,MATCH(C29,Epics!$C$2:$C$100,0)),"")</f>
        <v>ML16</v>
      </c>
      <c r="E29" s="13" t="str">
        <f>IFERROR(INDEX(Milestones!$C$2:$C$25,MATCH(D29,Milestones!$B$2:$B$25,0)),"")</f>
        <v>PH2</v>
      </c>
      <c r="F29" s="13" t="s">
        <v>524</v>
      </c>
      <c r="G29" s="14" t="s">
        <v>525</v>
      </c>
      <c r="H29" s="13" t="s">
        <v>460</v>
      </c>
      <c r="I29" s="13"/>
      <c r="J29" s="13"/>
      <c r="K29" s="13"/>
      <c r="L29" s="13" t="s">
        <v>131</v>
      </c>
      <c r="M29" s="13"/>
      <c r="N29" s="13" t="s">
        <v>516</v>
      </c>
      <c r="O29" s="15">
        <f t="shared" si="0"/>
        <v>0</v>
      </c>
    </row>
    <row r="30" spans="1:15" ht="69.5" customHeight="1" x14ac:dyDescent="0.2">
      <c r="A30" s="13" t="s">
        <v>526</v>
      </c>
      <c r="B30" s="13" t="s">
        <v>332</v>
      </c>
      <c r="C30" s="13" t="s">
        <v>147</v>
      </c>
      <c r="D30" s="13" t="str">
        <f>IFERROR(INDEX(Epics!$B$2:$B$100,MATCH(C30,Epics!$C$2:$C$100,0)),"")</f>
        <v>ML2</v>
      </c>
      <c r="E30" s="13" t="str">
        <f>IFERROR(INDEX(Milestones!$C$2:$C$25,MATCH(D30,Milestones!$B$2:$B$25,0)),"")</f>
        <v>PH2</v>
      </c>
      <c r="F30" s="13" t="s">
        <v>527</v>
      </c>
      <c r="G30" s="14" t="s">
        <v>528</v>
      </c>
      <c r="H30" s="13" t="s">
        <v>460</v>
      </c>
      <c r="I30" s="13"/>
      <c r="J30" s="13"/>
      <c r="K30" s="13"/>
      <c r="L30" s="13" t="s">
        <v>131</v>
      </c>
      <c r="M30" s="13"/>
      <c r="N30" s="13" t="s">
        <v>529</v>
      </c>
      <c r="O30" s="15">
        <f t="shared" si="0"/>
        <v>0</v>
      </c>
    </row>
    <row r="31" spans="1:15" ht="80" customHeight="1" x14ac:dyDescent="0.2">
      <c r="A31" s="13" t="s">
        <v>530</v>
      </c>
      <c r="B31" s="13" t="s">
        <v>336</v>
      </c>
      <c r="C31" s="13" t="s">
        <v>156</v>
      </c>
      <c r="D31" s="13" t="str">
        <f>IFERROR(INDEX(Epics!$B$2:$B$100,MATCH(C31,Epics!$C$2:$C$100,0)),"")</f>
        <v>ML3</v>
      </c>
      <c r="E31" s="13" t="str">
        <f>IFERROR(INDEX(Milestones!$C$2:$C$25,MATCH(D31,Milestones!$B$2:$B$25,0)),"")</f>
        <v>PH2</v>
      </c>
      <c r="F31" s="13" t="s">
        <v>531</v>
      </c>
      <c r="G31" s="14" t="s">
        <v>532</v>
      </c>
      <c r="H31" s="13" t="s">
        <v>438</v>
      </c>
      <c r="I31" s="13"/>
      <c r="J31" s="13"/>
      <c r="K31" s="13"/>
      <c r="L31" s="13" t="s">
        <v>131</v>
      </c>
      <c r="M31" s="13"/>
      <c r="N31" s="13" t="s">
        <v>493</v>
      </c>
      <c r="O31" s="15">
        <f t="shared" si="0"/>
        <v>0</v>
      </c>
    </row>
    <row r="32" spans="1:15" ht="95.75" customHeight="1" x14ac:dyDescent="0.2">
      <c r="A32" s="13" t="s">
        <v>533</v>
      </c>
      <c r="B32" s="13" t="s">
        <v>336</v>
      </c>
      <c r="C32" s="13" t="s">
        <v>153</v>
      </c>
      <c r="D32" s="13" t="str">
        <f>IFERROR(INDEX(Epics!$B$2:$B$100,MATCH(C32,Epics!$C$2:$C$100,0)),"")</f>
        <v>ML2</v>
      </c>
      <c r="E32" s="13" t="str">
        <f>IFERROR(INDEX(Milestones!$C$2:$C$25,MATCH(D32,Milestones!$B$2:$B$25,0)),"")</f>
        <v>PH2</v>
      </c>
      <c r="F32" s="13" t="s">
        <v>534</v>
      </c>
      <c r="G32" s="14" t="s">
        <v>535</v>
      </c>
      <c r="H32" s="13" t="s">
        <v>438</v>
      </c>
      <c r="I32" s="13"/>
      <c r="J32" s="13"/>
      <c r="K32" s="13"/>
      <c r="L32" s="13" t="s">
        <v>131</v>
      </c>
      <c r="M32" s="13"/>
      <c r="N32" s="13" t="s">
        <v>530</v>
      </c>
      <c r="O32" s="15">
        <f t="shared" si="0"/>
        <v>0</v>
      </c>
    </row>
    <row r="33" spans="1:15" ht="73.5" customHeight="1" x14ac:dyDescent="0.2">
      <c r="A33" s="13" t="s">
        <v>536</v>
      </c>
      <c r="B33" s="13" t="s">
        <v>336</v>
      </c>
      <c r="C33" s="13" t="s">
        <v>260</v>
      </c>
      <c r="D33" s="13" t="str">
        <f>IFERROR(INDEX(Epics!$B$2:$B$100,MATCH(C33,Epics!$C$2:$C$100,0)),"")</f>
        <v>ML16</v>
      </c>
      <c r="E33" s="13" t="str">
        <f>IFERROR(INDEX(Milestones!$C$2:$C$25,MATCH(D33,Milestones!$B$2:$B$25,0)),"")</f>
        <v>PH2</v>
      </c>
      <c r="F33" s="13" t="s">
        <v>537</v>
      </c>
      <c r="G33" s="14" t="s">
        <v>538</v>
      </c>
      <c r="H33" s="13" t="s">
        <v>460</v>
      </c>
      <c r="I33" s="13"/>
      <c r="J33" s="13"/>
      <c r="K33" s="13"/>
      <c r="L33" s="13" t="s">
        <v>131</v>
      </c>
      <c r="M33" s="13"/>
      <c r="N33" s="13" t="s">
        <v>533</v>
      </c>
      <c r="O33" s="15">
        <f t="shared" si="0"/>
        <v>0</v>
      </c>
    </row>
    <row r="34" spans="1:15" ht="57" customHeight="1" x14ac:dyDescent="0.2">
      <c r="A34" s="13" t="s">
        <v>539</v>
      </c>
      <c r="B34" s="13" t="s">
        <v>336</v>
      </c>
      <c r="C34" s="13" t="s">
        <v>156</v>
      </c>
      <c r="D34" s="13" t="str">
        <f>IFERROR(INDEX(Epics!$B$2:$B$100,MATCH(C34,Epics!$C$2:$C$100,0)),"")</f>
        <v>ML3</v>
      </c>
      <c r="E34" s="13" t="str">
        <f>IFERROR(INDEX(Milestones!$C$2:$C$25,MATCH(D34,Milestones!$B$2:$B$25,0)),"")</f>
        <v>PH2</v>
      </c>
      <c r="F34" s="13" t="s">
        <v>540</v>
      </c>
      <c r="G34" s="14" t="s">
        <v>541</v>
      </c>
      <c r="H34" s="13" t="s">
        <v>460</v>
      </c>
      <c r="I34" s="13"/>
      <c r="J34" s="13"/>
      <c r="K34" s="13"/>
      <c r="L34" s="13" t="s">
        <v>131</v>
      </c>
      <c r="M34" s="13"/>
      <c r="N34" s="13" t="s">
        <v>542</v>
      </c>
      <c r="O34" s="15">
        <f t="shared" ref="O34:O65" si="1">_xlfn.IFS(ISNUMBER(SEARCH("Done",L34)),100,ISNUMBER(SEARCH("In Progress",L34)),50,TRUE(),0)</f>
        <v>0</v>
      </c>
    </row>
    <row r="35" spans="1:15" ht="80.25" customHeight="1" x14ac:dyDescent="0.2">
      <c r="A35" s="13" t="s">
        <v>543</v>
      </c>
      <c r="B35" s="13" t="s">
        <v>340</v>
      </c>
      <c r="C35" s="13" t="s">
        <v>162</v>
      </c>
      <c r="D35" s="13" t="str">
        <f>IFERROR(INDEX(Epics!$B$2:$B$100,MATCH(C35,Epics!$C$2:$C$100,0)),"")</f>
        <v>ML3</v>
      </c>
      <c r="E35" s="13" t="str">
        <f>IFERROR(INDEX(Milestones!$C$2:$C$25,MATCH(D35,Milestones!$B$2:$B$25,0)),"")</f>
        <v>PH2</v>
      </c>
      <c r="F35" s="13" t="s">
        <v>544</v>
      </c>
      <c r="G35" s="14" t="s">
        <v>545</v>
      </c>
      <c r="H35" s="13" t="s">
        <v>438</v>
      </c>
      <c r="I35" s="13"/>
      <c r="J35" s="13"/>
      <c r="K35" s="13"/>
      <c r="L35" s="13" t="s">
        <v>131</v>
      </c>
      <c r="M35" s="13"/>
      <c r="N35" s="13" t="s">
        <v>470</v>
      </c>
      <c r="O35" s="15">
        <f t="shared" si="1"/>
        <v>0</v>
      </c>
    </row>
    <row r="36" spans="1:15" ht="74" customHeight="1" x14ac:dyDescent="0.2">
      <c r="A36" s="13" t="s">
        <v>546</v>
      </c>
      <c r="B36" s="13" t="s">
        <v>340</v>
      </c>
      <c r="C36" s="13" t="s">
        <v>162</v>
      </c>
      <c r="D36" s="13" t="str">
        <f>IFERROR(INDEX(Epics!$B$2:$B$100,MATCH(C36,Epics!$C$2:$C$100,0)),"")</f>
        <v>ML3</v>
      </c>
      <c r="E36" s="13" t="str">
        <f>IFERROR(INDEX(Milestones!$C$2:$C$25,MATCH(D36,Milestones!$B$2:$B$25,0)),"")</f>
        <v>PH2</v>
      </c>
      <c r="F36" s="13" t="s">
        <v>547</v>
      </c>
      <c r="G36" s="14" t="s">
        <v>548</v>
      </c>
      <c r="H36" s="13" t="s">
        <v>438</v>
      </c>
      <c r="I36" s="13"/>
      <c r="J36" s="13"/>
      <c r="K36" s="13"/>
      <c r="L36" s="13" t="s">
        <v>131</v>
      </c>
      <c r="M36" s="13"/>
      <c r="N36" s="13" t="s">
        <v>543</v>
      </c>
      <c r="O36" s="15">
        <f t="shared" si="1"/>
        <v>0</v>
      </c>
    </row>
    <row r="37" spans="1:15" ht="66" customHeight="1" x14ac:dyDescent="0.2">
      <c r="A37" s="13" t="s">
        <v>549</v>
      </c>
      <c r="B37" s="13" t="s">
        <v>340</v>
      </c>
      <c r="C37" s="13" t="s">
        <v>260</v>
      </c>
      <c r="D37" s="13" t="str">
        <f>IFERROR(INDEX(Epics!$B$2:$B$100,MATCH(C37,Epics!$C$2:$C$100,0)),"")</f>
        <v>ML16</v>
      </c>
      <c r="E37" s="13" t="str">
        <f>IFERROR(INDEX(Milestones!$C$2:$C$25,MATCH(D37,Milestones!$B$2:$B$25,0)),"")</f>
        <v>PH2</v>
      </c>
      <c r="F37" s="13" t="s">
        <v>550</v>
      </c>
      <c r="G37" s="14" t="s">
        <v>551</v>
      </c>
      <c r="H37" s="13" t="s">
        <v>438</v>
      </c>
      <c r="I37" s="13"/>
      <c r="J37" s="13"/>
      <c r="K37" s="13"/>
      <c r="L37" s="13" t="s">
        <v>131</v>
      </c>
      <c r="M37" s="13"/>
      <c r="N37" s="13" t="s">
        <v>546</v>
      </c>
      <c r="O37" s="15">
        <f t="shared" si="1"/>
        <v>0</v>
      </c>
    </row>
    <row r="38" spans="1:15" ht="60" customHeight="1" x14ac:dyDescent="0.2">
      <c r="A38" s="13" t="s">
        <v>552</v>
      </c>
      <c r="B38" s="13" t="s">
        <v>340</v>
      </c>
      <c r="C38" s="13" t="s">
        <v>162</v>
      </c>
      <c r="D38" s="13" t="str">
        <f>IFERROR(INDEX(Epics!$B$2:$B$100,MATCH(C38,Epics!$C$2:$C$100,0)),"")</f>
        <v>ML3</v>
      </c>
      <c r="E38" s="13" t="str">
        <f>IFERROR(INDEX(Milestones!$C$2:$C$25,MATCH(D38,Milestones!$B$2:$B$25,0)),"")</f>
        <v>PH2</v>
      </c>
      <c r="F38" s="13" t="s">
        <v>553</v>
      </c>
      <c r="G38" s="14" t="s">
        <v>554</v>
      </c>
      <c r="H38" s="13" t="s">
        <v>460</v>
      </c>
      <c r="I38" s="13"/>
      <c r="J38" s="13"/>
      <c r="K38" s="13"/>
      <c r="L38" s="13" t="s">
        <v>131</v>
      </c>
      <c r="M38" s="13"/>
      <c r="N38" s="13" t="s">
        <v>555</v>
      </c>
      <c r="O38" s="15">
        <f t="shared" si="1"/>
        <v>0</v>
      </c>
    </row>
    <row r="39" spans="1:15" ht="72.5" customHeight="1" x14ac:dyDescent="0.2">
      <c r="A39" s="13" t="s">
        <v>556</v>
      </c>
      <c r="B39" s="13" t="s">
        <v>344</v>
      </c>
      <c r="C39" s="13" t="s">
        <v>165</v>
      </c>
      <c r="D39" s="13" t="str">
        <f>IFERROR(INDEX(Epics!$B$2:$B$100,MATCH(C39,Epics!$C$2:$C$100,0)),"")</f>
        <v>ML4</v>
      </c>
      <c r="E39" s="13" t="str">
        <f>IFERROR(INDEX(Milestones!$C$2:$C$25,MATCH(D39,Milestones!$B$2:$B$25,0)),"")</f>
        <v>PH2</v>
      </c>
      <c r="F39" s="13" t="s">
        <v>557</v>
      </c>
      <c r="G39" s="14" t="s">
        <v>558</v>
      </c>
      <c r="H39" s="13" t="s">
        <v>438</v>
      </c>
      <c r="I39" s="13"/>
      <c r="J39" s="13"/>
      <c r="K39" s="13"/>
      <c r="L39" s="13" t="s">
        <v>131</v>
      </c>
      <c r="M39" s="13"/>
      <c r="N39" s="13" t="s">
        <v>493</v>
      </c>
      <c r="O39" s="15">
        <f t="shared" si="1"/>
        <v>0</v>
      </c>
    </row>
    <row r="40" spans="1:15" ht="67.5" customHeight="1" x14ac:dyDescent="0.2">
      <c r="A40" s="13" t="s">
        <v>559</v>
      </c>
      <c r="B40" s="13" t="s">
        <v>344</v>
      </c>
      <c r="C40" s="13" t="s">
        <v>165</v>
      </c>
      <c r="D40" s="13" t="str">
        <f>IFERROR(INDEX(Epics!$B$2:$B$100,MATCH(C40,Epics!$C$2:$C$100,0)),"")</f>
        <v>ML4</v>
      </c>
      <c r="E40" s="13" t="str">
        <f>IFERROR(INDEX(Milestones!$C$2:$C$25,MATCH(D40,Milestones!$B$2:$B$25,0)),"")</f>
        <v>PH2</v>
      </c>
      <c r="F40" s="13" t="s">
        <v>560</v>
      </c>
      <c r="G40" s="14" t="s">
        <v>561</v>
      </c>
      <c r="H40" s="13" t="s">
        <v>438</v>
      </c>
      <c r="I40" s="13"/>
      <c r="J40" s="13"/>
      <c r="K40" s="13"/>
      <c r="L40" s="13" t="s">
        <v>131</v>
      </c>
      <c r="M40" s="13"/>
      <c r="N40" s="13" t="s">
        <v>556</v>
      </c>
      <c r="O40" s="15">
        <f t="shared" si="1"/>
        <v>0</v>
      </c>
    </row>
    <row r="41" spans="1:15" ht="68.5" customHeight="1" x14ac:dyDescent="0.2">
      <c r="A41" s="13" t="s">
        <v>562</v>
      </c>
      <c r="B41" s="13" t="s">
        <v>344</v>
      </c>
      <c r="C41" s="13" t="s">
        <v>260</v>
      </c>
      <c r="D41" s="13" t="str">
        <f>IFERROR(INDEX(Epics!$B$2:$B$100,MATCH(C41,Epics!$C$2:$C$100,0)),"")</f>
        <v>ML16</v>
      </c>
      <c r="E41" s="13" t="str">
        <f>IFERROR(INDEX(Milestones!$C$2:$C$25,MATCH(D41,Milestones!$B$2:$B$25,0)),"")</f>
        <v>PH2</v>
      </c>
      <c r="F41" s="13" t="s">
        <v>563</v>
      </c>
      <c r="G41" s="14" t="s">
        <v>564</v>
      </c>
      <c r="H41" s="13" t="s">
        <v>438</v>
      </c>
      <c r="I41" s="13"/>
      <c r="J41" s="13"/>
      <c r="K41" s="13"/>
      <c r="L41" s="13" t="s">
        <v>131</v>
      </c>
      <c r="M41" s="13"/>
      <c r="N41" s="13" t="s">
        <v>559</v>
      </c>
      <c r="O41" s="15">
        <f t="shared" si="1"/>
        <v>0</v>
      </c>
    </row>
    <row r="42" spans="1:15" ht="61.5" customHeight="1" x14ac:dyDescent="0.2">
      <c r="A42" s="13" t="s">
        <v>565</v>
      </c>
      <c r="B42" s="13" t="s">
        <v>344</v>
      </c>
      <c r="C42" s="13" t="s">
        <v>165</v>
      </c>
      <c r="D42" s="13" t="str">
        <f>IFERROR(INDEX(Epics!$B$2:$B$100,MATCH(C42,Epics!$C$2:$C$100,0)),"")</f>
        <v>ML4</v>
      </c>
      <c r="E42" s="13" t="str">
        <f>IFERROR(INDEX(Milestones!$C$2:$C$25,MATCH(D42,Milestones!$B$2:$B$25,0)),"")</f>
        <v>PH2</v>
      </c>
      <c r="F42" s="13" t="s">
        <v>566</v>
      </c>
      <c r="G42" s="14" t="s">
        <v>567</v>
      </c>
      <c r="H42" s="13" t="s">
        <v>460</v>
      </c>
      <c r="I42" s="13"/>
      <c r="J42" s="13"/>
      <c r="K42" s="13"/>
      <c r="L42" s="13" t="s">
        <v>131</v>
      </c>
      <c r="M42" s="13"/>
      <c r="N42" s="13" t="s">
        <v>568</v>
      </c>
      <c r="O42" s="15">
        <f t="shared" si="1"/>
        <v>0</v>
      </c>
    </row>
    <row r="43" spans="1:15" ht="86.75" customHeight="1" x14ac:dyDescent="0.2">
      <c r="A43" s="13" t="s">
        <v>569</v>
      </c>
      <c r="B43" s="13" t="s">
        <v>347</v>
      </c>
      <c r="C43" s="13" t="s">
        <v>167</v>
      </c>
      <c r="D43" s="13" t="str">
        <f>IFERROR(INDEX(Epics!$B$2:$B$100,MATCH(C43,Epics!$C$2:$C$100,0)),"")</f>
        <v>ML4</v>
      </c>
      <c r="E43" s="13" t="str">
        <f>IFERROR(INDEX(Milestones!$C$2:$C$25,MATCH(D43,Milestones!$B$2:$B$25,0)),"")</f>
        <v>PH2</v>
      </c>
      <c r="F43" s="13" t="s">
        <v>570</v>
      </c>
      <c r="G43" s="14" t="s">
        <v>571</v>
      </c>
      <c r="H43" s="13" t="s">
        <v>460</v>
      </c>
      <c r="I43" s="13"/>
      <c r="J43" s="13"/>
      <c r="K43" s="13"/>
      <c r="L43" s="13" t="s">
        <v>131</v>
      </c>
      <c r="M43" s="13"/>
      <c r="N43" s="13" t="s">
        <v>493</v>
      </c>
      <c r="O43" s="15">
        <f t="shared" si="1"/>
        <v>0</v>
      </c>
    </row>
    <row r="44" spans="1:15" ht="66.25" customHeight="1" x14ac:dyDescent="0.2">
      <c r="A44" s="13" t="s">
        <v>572</v>
      </c>
      <c r="B44" s="13" t="s">
        <v>347</v>
      </c>
      <c r="C44" s="13" t="s">
        <v>167</v>
      </c>
      <c r="D44" s="13" t="str">
        <f>IFERROR(INDEX(Epics!$B$2:$B$100,MATCH(C44,Epics!$C$2:$C$100,0)),"")</f>
        <v>ML4</v>
      </c>
      <c r="E44" s="13" t="str">
        <f>IFERROR(INDEX(Milestones!$C$2:$C$25,MATCH(D44,Milestones!$B$2:$B$25,0)),"")</f>
        <v>PH2</v>
      </c>
      <c r="F44" s="13" t="s">
        <v>573</v>
      </c>
      <c r="G44" s="14" t="s">
        <v>574</v>
      </c>
      <c r="H44" s="13" t="s">
        <v>438</v>
      </c>
      <c r="I44" s="13"/>
      <c r="J44" s="13"/>
      <c r="K44" s="13"/>
      <c r="L44" s="13" t="s">
        <v>131</v>
      </c>
      <c r="M44" s="13"/>
      <c r="N44" s="13" t="s">
        <v>569</v>
      </c>
      <c r="O44" s="15">
        <f t="shared" si="1"/>
        <v>0</v>
      </c>
    </row>
    <row r="45" spans="1:15" ht="63" customHeight="1" x14ac:dyDescent="0.2">
      <c r="A45" s="13" t="s">
        <v>575</v>
      </c>
      <c r="B45" s="13" t="s">
        <v>347</v>
      </c>
      <c r="C45" s="13" t="s">
        <v>260</v>
      </c>
      <c r="D45" s="13" t="str">
        <f>IFERROR(INDEX(Epics!$B$2:$B$100,MATCH(C45,Epics!$C$2:$C$100,0)),"")</f>
        <v>ML16</v>
      </c>
      <c r="E45" s="13" t="str">
        <f>IFERROR(INDEX(Milestones!$C$2:$C$25,MATCH(D45,Milestones!$B$2:$B$25,0)),"")</f>
        <v>PH2</v>
      </c>
      <c r="F45" s="13" t="s">
        <v>576</v>
      </c>
      <c r="G45" s="14" t="s">
        <v>577</v>
      </c>
      <c r="H45" s="13" t="s">
        <v>438</v>
      </c>
      <c r="I45" s="13"/>
      <c r="J45" s="13"/>
      <c r="K45" s="13"/>
      <c r="L45" s="13" t="s">
        <v>131</v>
      </c>
      <c r="M45" s="13"/>
      <c r="N45" s="13" t="s">
        <v>572</v>
      </c>
      <c r="O45" s="15">
        <f t="shared" si="1"/>
        <v>0</v>
      </c>
    </row>
    <row r="46" spans="1:15" ht="57" customHeight="1" x14ac:dyDescent="0.2">
      <c r="A46" s="13" t="s">
        <v>578</v>
      </c>
      <c r="B46" s="13" t="s">
        <v>347</v>
      </c>
      <c r="C46" s="13" t="s">
        <v>167</v>
      </c>
      <c r="D46" s="13" t="str">
        <f>IFERROR(INDEX(Epics!$B$2:$B$100,MATCH(C46,Epics!$C$2:$C$100,0)),"")</f>
        <v>ML4</v>
      </c>
      <c r="E46" s="13" t="str">
        <f>IFERROR(INDEX(Milestones!$C$2:$C$25,MATCH(D46,Milestones!$B$2:$B$25,0)),"")</f>
        <v>PH2</v>
      </c>
      <c r="F46" s="13" t="s">
        <v>579</v>
      </c>
      <c r="G46" s="14" t="s">
        <v>580</v>
      </c>
      <c r="H46" s="13" t="s">
        <v>460</v>
      </c>
      <c r="I46" s="13"/>
      <c r="J46" s="13"/>
      <c r="K46" s="13"/>
      <c r="L46" s="13" t="s">
        <v>131</v>
      </c>
      <c r="M46" s="13"/>
      <c r="N46" s="13" t="s">
        <v>581</v>
      </c>
      <c r="O46" s="15">
        <f t="shared" si="1"/>
        <v>0</v>
      </c>
    </row>
    <row r="47" spans="1:15" ht="72" customHeight="1" x14ac:dyDescent="0.2">
      <c r="A47" s="13" t="s">
        <v>582</v>
      </c>
      <c r="B47" s="13" t="s">
        <v>351</v>
      </c>
      <c r="C47" s="13" t="s">
        <v>173</v>
      </c>
      <c r="D47" s="13" t="str">
        <f>IFERROR(INDEX(Epics!$B$2:$B$100,MATCH(C47,Epics!$C$2:$C$100,0)),"")</f>
        <v>ML5</v>
      </c>
      <c r="E47" s="13" t="str">
        <f>IFERROR(INDEX(Milestones!$C$2:$C$25,MATCH(D47,Milestones!$B$2:$B$25,0)),"")</f>
        <v>PH2</v>
      </c>
      <c r="F47" s="13" t="s">
        <v>583</v>
      </c>
      <c r="G47" s="14" t="s">
        <v>584</v>
      </c>
      <c r="H47" s="13" t="s">
        <v>438</v>
      </c>
      <c r="I47" s="13"/>
      <c r="J47" s="13"/>
      <c r="K47" s="13"/>
      <c r="L47" s="13" t="s">
        <v>131</v>
      </c>
      <c r="M47" s="13"/>
      <c r="N47" s="13" t="s">
        <v>470</v>
      </c>
      <c r="O47" s="15">
        <f t="shared" si="1"/>
        <v>0</v>
      </c>
    </row>
    <row r="48" spans="1:15" ht="67.25" customHeight="1" x14ac:dyDescent="0.2">
      <c r="A48" s="13" t="s">
        <v>585</v>
      </c>
      <c r="B48" s="13" t="s">
        <v>351</v>
      </c>
      <c r="C48" s="13" t="s">
        <v>173</v>
      </c>
      <c r="D48" s="13" t="str">
        <f>IFERROR(INDEX(Epics!$B$2:$B$100,MATCH(C48,Epics!$C$2:$C$100,0)),"")</f>
        <v>ML5</v>
      </c>
      <c r="E48" s="13" t="str">
        <f>IFERROR(INDEX(Milestones!$C$2:$C$25,MATCH(D48,Milestones!$B$2:$B$25,0)),"")</f>
        <v>PH2</v>
      </c>
      <c r="F48" s="13" t="s">
        <v>586</v>
      </c>
      <c r="G48" s="14" t="s">
        <v>587</v>
      </c>
      <c r="H48" s="13" t="s">
        <v>438</v>
      </c>
      <c r="I48" s="13"/>
      <c r="J48" s="13"/>
      <c r="K48" s="13"/>
      <c r="L48" s="13" t="s">
        <v>131</v>
      </c>
      <c r="M48" s="13"/>
      <c r="N48" s="13" t="s">
        <v>582</v>
      </c>
      <c r="O48" s="15">
        <f t="shared" si="1"/>
        <v>0</v>
      </c>
    </row>
    <row r="49" spans="1:15" ht="65.25" customHeight="1" x14ac:dyDescent="0.2">
      <c r="A49" s="13" t="s">
        <v>588</v>
      </c>
      <c r="B49" s="13" t="s">
        <v>351</v>
      </c>
      <c r="C49" s="13" t="s">
        <v>260</v>
      </c>
      <c r="D49" s="13" t="str">
        <f>IFERROR(INDEX(Epics!$B$2:$B$100,MATCH(C49,Epics!$C$2:$C$100,0)),"")</f>
        <v>ML16</v>
      </c>
      <c r="E49" s="13" t="str">
        <f>IFERROR(INDEX(Milestones!$C$2:$C$25,MATCH(D49,Milestones!$B$2:$B$25,0)),"")</f>
        <v>PH2</v>
      </c>
      <c r="F49" s="13" t="s">
        <v>589</v>
      </c>
      <c r="G49" s="14" t="s">
        <v>590</v>
      </c>
      <c r="H49" s="13" t="s">
        <v>438</v>
      </c>
      <c r="I49" s="13"/>
      <c r="J49" s="13"/>
      <c r="K49" s="13"/>
      <c r="L49" s="13" t="s">
        <v>131</v>
      </c>
      <c r="M49" s="13"/>
      <c r="N49" s="13" t="s">
        <v>585</v>
      </c>
      <c r="O49" s="15">
        <f t="shared" si="1"/>
        <v>0</v>
      </c>
    </row>
    <row r="50" spans="1:15" ht="58.5" customHeight="1" x14ac:dyDescent="0.2">
      <c r="A50" s="13" t="s">
        <v>591</v>
      </c>
      <c r="B50" s="13" t="s">
        <v>351</v>
      </c>
      <c r="C50" s="13" t="s">
        <v>173</v>
      </c>
      <c r="D50" s="13" t="str">
        <f>IFERROR(INDEX(Epics!$B$2:$B$100,MATCH(C50,Epics!$C$2:$C$100,0)),"")</f>
        <v>ML5</v>
      </c>
      <c r="E50" s="13" t="str">
        <f>IFERROR(INDEX(Milestones!$C$2:$C$25,MATCH(D50,Milestones!$B$2:$B$25,0)),"")</f>
        <v>PH2</v>
      </c>
      <c r="F50" s="13" t="s">
        <v>592</v>
      </c>
      <c r="G50" s="14" t="s">
        <v>593</v>
      </c>
      <c r="H50" s="13" t="s">
        <v>460</v>
      </c>
      <c r="I50" s="13"/>
      <c r="J50" s="13"/>
      <c r="K50" s="13"/>
      <c r="L50" s="13" t="s">
        <v>131</v>
      </c>
      <c r="M50" s="13"/>
      <c r="N50" s="13" t="s">
        <v>594</v>
      </c>
      <c r="O50" s="15">
        <f t="shared" si="1"/>
        <v>0</v>
      </c>
    </row>
    <row r="51" spans="1:15" ht="69" customHeight="1" x14ac:dyDescent="0.2">
      <c r="A51" s="13" t="s">
        <v>595</v>
      </c>
      <c r="B51" s="13" t="s">
        <v>355</v>
      </c>
      <c r="C51" s="13" t="s">
        <v>170</v>
      </c>
      <c r="D51" s="13" t="str">
        <f>IFERROR(INDEX(Epics!$B$2:$B$100,MATCH(C51,Epics!$C$2:$C$100,0)),"")</f>
        <v>ML5</v>
      </c>
      <c r="E51" s="13" t="str">
        <f>IFERROR(INDEX(Milestones!$C$2:$C$25,MATCH(D51,Milestones!$B$2:$B$25,0)),"")</f>
        <v>PH2</v>
      </c>
      <c r="F51" s="13" t="s">
        <v>596</v>
      </c>
      <c r="G51" s="14" t="s">
        <v>597</v>
      </c>
      <c r="H51" s="13" t="s">
        <v>438</v>
      </c>
      <c r="I51" s="13"/>
      <c r="J51" s="13"/>
      <c r="K51" s="13"/>
      <c r="L51" s="13" t="s">
        <v>131</v>
      </c>
      <c r="M51" s="13"/>
      <c r="N51" s="13" t="s">
        <v>598</v>
      </c>
      <c r="O51" s="15">
        <f t="shared" si="1"/>
        <v>0</v>
      </c>
    </row>
    <row r="52" spans="1:15" ht="75.5" customHeight="1" x14ac:dyDescent="0.2">
      <c r="A52" s="13" t="s">
        <v>599</v>
      </c>
      <c r="B52" s="13" t="s">
        <v>355</v>
      </c>
      <c r="C52" s="13" t="s">
        <v>176</v>
      </c>
      <c r="D52" s="13" t="str">
        <f>IFERROR(INDEX(Epics!$B$2:$B$100,MATCH(C52,Epics!$C$2:$C$100,0)),"")</f>
        <v>ML5</v>
      </c>
      <c r="E52" s="13" t="str">
        <f>IFERROR(INDEX(Milestones!$C$2:$C$25,MATCH(D52,Milestones!$B$2:$B$25,0)),"")</f>
        <v>PH2</v>
      </c>
      <c r="F52" s="13" t="s">
        <v>600</v>
      </c>
      <c r="G52" s="14" t="s">
        <v>601</v>
      </c>
      <c r="H52" s="13" t="s">
        <v>438</v>
      </c>
      <c r="I52" s="13"/>
      <c r="J52" s="13"/>
      <c r="K52" s="13"/>
      <c r="L52" s="13" t="s">
        <v>131</v>
      </c>
      <c r="M52" s="13"/>
      <c r="N52" s="13" t="s">
        <v>602</v>
      </c>
      <c r="O52" s="15">
        <f t="shared" si="1"/>
        <v>0</v>
      </c>
    </row>
    <row r="53" spans="1:15" ht="78.5" customHeight="1" x14ac:dyDescent="0.2">
      <c r="A53" s="13" t="s">
        <v>603</v>
      </c>
      <c r="B53" s="13" t="s">
        <v>355</v>
      </c>
      <c r="C53" s="13" t="s">
        <v>239</v>
      </c>
      <c r="D53" s="13" t="str">
        <f>IFERROR(INDEX(Epics!$B$2:$B$100,MATCH(C53,Epics!$C$2:$C$100,0)),"")</f>
        <v>ML13</v>
      </c>
      <c r="E53" s="13" t="str">
        <f>IFERROR(INDEX(Milestones!$C$2:$C$25,MATCH(D53,Milestones!$B$2:$B$25,0)),"")</f>
        <v>PH2</v>
      </c>
      <c r="F53" s="13" t="s">
        <v>604</v>
      </c>
      <c r="G53" s="14" t="s">
        <v>605</v>
      </c>
      <c r="H53" s="13" t="s">
        <v>460</v>
      </c>
      <c r="I53" s="13"/>
      <c r="J53" s="13"/>
      <c r="K53" s="13"/>
      <c r="L53" s="13" t="s">
        <v>131</v>
      </c>
      <c r="M53" s="13"/>
      <c r="N53" s="13" t="s">
        <v>599</v>
      </c>
      <c r="O53" s="15">
        <f t="shared" si="1"/>
        <v>0</v>
      </c>
    </row>
    <row r="54" spans="1:15" ht="67" customHeight="1" x14ac:dyDescent="0.2">
      <c r="A54" s="13" t="s">
        <v>606</v>
      </c>
      <c r="B54" s="13" t="s">
        <v>355</v>
      </c>
      <c r="C54" s="13" t="s">
        <v>170</v>
      </c>
      <c r="D54" s="13" t="str">
        <f>IFERROR(INDEX(Epics!$B$2:$B$100,MATCH(C54,Epics!$C$2:$C$100,0)),"")</f>
        <v>ML5</v>
      </c>
      <c r="E54" s="13" t="str">
        <f>IFERROR(INDEX(Milestones!$C$2:$C$25,MATCH(D54,Milestones!$B$2:$B$25,0)),"")</f>
        <v>PH2</v>
      </c>
      <c r="F54" s="13" t="s">
        <v>607</v>
      </c>
      <c r="G54" s="14" t="s">
        <v>608</v>
      </c>
      <c r="H54" s="13" t="s">
        <v>460</v>
      </c>
      <c r="I54" s="13"/>
      <c r="J54" s="13"/>
      <c r="K54" s="13"/>
      <c r="L54" s="13" t="s">
        <v>131</v>
      </c>
      <c r="M54" s="13"/>
      <c r="N54" s="13" t="s">
        <v>609</v>
      </c>
      <c r="O54" s="15">
        <f t="shared" si="1"/>
        <v>0</v>
      </c>
    </row>
    <row r="55" spans="1:15" ht="82.25" customHeight="1" x14ac:dyDescent="0.2">
      <c r="A55" s="13" t="s">
        <v>610</v>
      </c>
      <c r="B55" s="13" t="s">
        <v>359</v>
      </c>
      <c r="C55" s="13" t="s">
        <v>179</v>
      </c>
      <c r="D55" s="13" t="str">
        <f>IFERROR(INDEX(Epics!$B$2:$B$100,MATCH(C55,Epics!$C$2:$C$100,0)),"")</f>
        <v>ML6</v>
      </c>
      <c r="E55" s="13" t="str">
        <f>IFERROR(INDEX(Milestones!$C$2:$C$25,MATCH(D55,Milestones!$B$2:$B$25,0)),"")</f>
        <v>PH2</v>
      </c>
      <c r="F55" s="13" t="s">
        <v>611</v>
      </c>
      <c r="G55" s="14" t="s">
        <v>612</v>
      </c>
      <c r="H55" s="13" t="s">
        <v>438</v>
      </c>
      <c r="I55" s="13"/>
      <c r="J55" s="13"/>
      <c r="K55" s="13"/>
      <c r="L55" s="13" t="s">
        <v>131</v>
      </c>
      <c r="M55" s="13"/>
      <c r="N55" s="13" t="s">
        <v>582</v>
      </c>
      <c r="O55" s="15">
        <f t="shared" si="1"/>
        <v>0</v>
      </c>
    </row>
    <row r="56" spans="1:15" ht="68" customHeight="1" x14ac:dyDescent="0.2">
      <c r="A56" s="13" t="s">
        <v>613</v>
      </c>
      <c r="B56" s="13" t="s">
        <v>359</v>
      </c>
      <c r="C56" s="13" t="s">
        <v>269</v>
      </c>
      <c r="D56" s="13" t="str">
        <f>IFERROR(INDEX(Epics!$B$2:$B$100,MATCH(C56,Epics!$C$2:$C$100,0)),"")</f>
        <v>ML18</v>
      </c>
      <c r="E56" s="13" t="str">
        <f>IFERROR(INDEX(Milestones!$C$2:$C$25,MATCH(D56,Milestones!$B$2:$B$25,0)),"")</f>
        <v>PH2</v>
      </c>
      <c r="F56" s="13" t="s">
        <v>270</v>
      </c>
      <c r="G56" s="14" t="s">
        <v>614</v>
      </c>
      <c r="H56" s="13" t="s">
        <v>438</v>
      </c>
      <c r="I56" s="13"/>
      <c r="J56" s="13"/>
      <c r="K56" s="13"/>
      <c r="L56" s="13" t="s">
        <v>131</v>
      </c>
      <c r="M56" s="13"/>
      <c r="N56" s="13" t="s">
        <v>439</v>
      </c>
      <c r="O56" s="15">
        <f t="shared" si="1"/>
        <v>0</v>
      </c>
    </row>
    <row r="57" spans="1:15" ht="67" customHeight="1" x14ac:dyDescent="0.2">
      <c r="A57" s="13" t="s">
        <v>615</v>
      </c>
      <c r="B57" s="13" t="s">
        <v>359</v>
      </c>
      <c r="C57" s="13" t="s">
        <v>179</v>
      </c>
      <c r="D57" s="13" t="str">
        <f>IFERROR(INDEX(Epics!$B$2:$B$100,MATCH(C57,Epics!$C$2:$C$100,0)),"")</f>
        <v>ML6</v>
      </c>
      <c r="E57" s="13" t="str">
        <f>IFERROR(INDEX(Milestones!$C$2:$C$25,MATCH(D57,Milestones!$B$2:$B$25,0)),"")</f>
        <v>PH2</v>
      </c>
      <c r="F57" s="13" t="s">
        <v>616</v>
      </c>
      <c r="G57" s="14" t="s">
        <v>617</v>
      </c>
      <c r="H57" s="13" t="s">
        <v>438</v>
      </c>
      <c r="I57" s="13"/>
      <c r="J57" s="13"/>
      <c r="K57" s="13"/>
      <c r="L57" s="13" t="s">
        <v>131</v>
      </c>
      <c r="M57" s="13"/>
      <c r="N57" s="13" t="s">
        <v>618</v>
      </c>
      <c r="O57" s="15">
        <f t="shared" si="1"/>
        <v>0</v>
      </c>
    </row>
    <row r="58" spans="1:15" ht="58.25" customHeight="1" x14ac:dyDescent="0.2">
      <c r="A58" s="13" t="s">
        <v>619</v>
      </c>
      <c r="B58" s="13" t="s">
        <v>359</v>
      </c>
      <c r="C58" s="13" t="s">
        <v>260</v>
      </c>
      <c r="D58" s="13" t="str">
        <f>IFERROR(INDEX(Epics!$B$2:$B$100,MATCH(C58,Epics!$C$2:$C$100,0)),"")</f>
        <v>ML16</v>
      </c>
      <c r="E58" s="13" t="str">
        <f>IFERROR(INDEX(Milestones!$C$2:$C$25,MATCH(D58,Milestones!$B$2:$B$25,0)),"")</f>
        <v>PH2</v>
      </c>
      <c r="F58" s="13" t="s">
        <v>620</v>
      </c>
      <c r="G58" s="14" t="s">
        <v>621</v>
      </c>
      <c r="H58" s="13" t="s">
        <v>438</v>
      </c>
      <c r="I58" s="13"/>
      <c r="J58" s="13"/>
      <c r="K58" s="13"/>
      <c r="L58" s="13" t="s">
        <v>131</v>
      </c>
      <c r="M58" s="13"/>
      <c r="N58" s="13" t="s">
        <v>615</v>
      </c>
      <c r="O58" s="15">
        <f t="shared" si="1"/>
        <v>0</v>
      </c>
    </row>
    <row r="59" spans="1:15" ht="70.5" customHeight="1" x14ac:dyDescent="0.2">
      <c r="A59" s="13" t="s">
        <v>622</v>
      </c>
      <c r="B59" s="13" t="s">
        <v>359</v>
      </c>
      <c r="C59" s="13" t="s">
        <v>179</v>
      </c>
      <c r="D59" s="13" t="str">
        <f>IFERROR(INDEX(Epics!$B$2:$B$100,MATCH(C59,Epics!$C$2:$C$100,0)),"")</f>
        <v>ML6</v>
      </c>
      <c r="E59" s="13" t="str">
        <f>IFERROR(INDEX(Milestones!$C$2:$C$25,MATCH(D59,Milestones!$B$2:$B$25,0)),"")</f>
        <v>PH2</v>
      </c>
      <c r="F59" s="13" t="s">
        <v>623</v>
      </c>
      <c r="G59" s="14" t="s">
        <v>624</v>
      </c>
      <c r="H59" s="13" t="s">
        <v>460</v>
      </c>
      <c r="I59" s="13"/>
      <c r="J59" s="13"/>
      <c r="K59" s="13"/>
      <c r="L59" s="13" t="s">
        <v>131</v>
      </c>
      <c r="M59" s="13"/>
      <c r="N59" s="13" t="s">
        <v>625</v>
      </c>
      <c r="O59" s="15">
        <f t="shared" si="1"/>
        <v>0</v>
      </c>
    </row>
    <row r="60" spans="1:15" ht="71.25" customHeight="1" x14ac:dyDescent="0.2">
      <c r="A60" s="13" t="s">
        <v>626</v>
      </c>
      <c r="B60" s="13" t="s">
        <v>363</v>
      </c>
      <c r="C60" s="13" t="s">
        <v>182</v>
      </c>
      <c r="D60" s="13" t="str">
        <f>IFERROR(INDEX(Epics!$B$2:$B$100,MATCH(C60,Epics!$C$2:$C$100,0)),"")</f>
        <v>ML6</v>
      </c>
      <c r="E60" s="13" t="str">
        <f>IFERROR(INDEX(Milestones!$C$2:$C$25,MATCH(D60,Milestones!$B$2:$B$25,0)),"")</f>
        <v>PH2</v>
      </c>
      <c r="F60" s="13" t="s">
        <v>627</v>
      </c>
      <c r="G60" s="14" t="s">
        <v>628</v>
      </c>
      <c r="H60" s="13" t="s">
        <v>438</v>
      </c>
      <c r="I60" s="13"/>
      <c r="J60" s="13"/>
      <c r="K60" s="13"/>
      <c r="L60" s="13" t="s">
        <v>131</v>
      </c>
      <c r="M60" s="13"/>
      <c r="N60" s="13" t="s">
        <v>610</v>
      </c>
      <c r="O60" s="15">
        <f t="shared" si="1"/>
        <v>0</v>
      </c>
    </row>
    <row r="61" spans="1:15" ht="83.75" customHeight="1" x14ac:dyDescent="0.2">
      <c r="A61" s="13" t="s">
        <v>629</v>
      </c>
      <c r="B61" s="13" t="s">
        <v>363</v>
      </c>
      <c r="C61" s="13" t="s">
        <v>185</v>
      </c>
      <c r="D61" s="13" t="str">
        <f>IFERROR(INDEX(Epics!$B$2:$B$100,MATCH(C61,Epics!$C$2:$C$100,0)),"")</f>
        <v>ML6</v>
      </c>
      <c r="E61" s="13" t="str">
        <f>IFERROR(INDEX(Milestones!$C$2:$C$25,MATCH(D61,Milestones!$B$2:$B$25,0)),"")</f>
        <v>PH2</v>
      </c>
      <c r="F61" s="13" t="s">
        <v>630</v>
      </c>
      <c r="G61" s="14" t="s">
        <v>631</v>
      </c>
      <c r="H61" s="13" t="s">
        <v>438</v>
      </c>
      <c r="I61" s="13"/>
      <c r="J61" s="13"/>
      <c r="K61" s="13"/>
      <c r="L61" s="13" t="s">
        <v>131</v>
      </c>
      <c r="M61" s="13"/>
      <c r="N61" s="13" t="s">
        <v>626</v>
      </c>
      <c r="O61" s="15">
        <f t="shared" si="1"/>
        <v>0</v>
      </c>
    </row>
    <row r="62" spans="1:15" ht="57" customHeight="1" x14ac:dyDescent="0.2">
      <c r="A62" s="13" t="s">
        <v>632</v>
      </c>
      <c r="B62" s="13" t="s">
        <v>363</v>
      </c>
      <c r="C62" s="13" t="s">
        <v>260</v>
      </c>
      <c r="D62" s="13" t="str">
        <f>IFERROR(INDEX(Epics!$B$2:$B$100,MATCH(C62,Epics!$C$2:$C$100,0)),"")</f>
        <v>ML16</v>
      </c>
      <c r="E62" s="13" t="str">
        <f>IFERROR(INDEX(Milestones!$C$2:$C$25,MATCH(D62,Milestones!$B$2:$B$25,0)),"")</f>
        <v>PH2</v>
      </c>
      <c r="F62" s="13" t="s">
        <v>633</v>
      </c>
      <c r="G62" s="14" t="s">
        <v>634</v>
      </c>
      <c r="H62" s="13" t="s">
        <v>438</v>
      </c>
      <c r="I62" s="13"/>
      <c r="J62" s="13"/>
      <c r="K62" s="13"/>
      <c r="L62" s="13" t="s">
        <v>131</v>
      </c>
      <c r="M62" s="13"/>
      <c r="N62" s="13" t="s">
        <v>629</v>
      </c>
      <c r="O62" s="15">
        <f t="shared" si="1"/>
        <v>0</v>
      </c>
    </row>
    <row r="63" spans="1:15" ht="59.75" customHeight="1" x14ac:dyDescent="0.2">
      <c r="A63" s="13" t="s">
        <v>635</v>
      </c>
      <c r="B63" s="13" t="s">
        <v>363</v>
      </c>
      <c r="C63" s="13" t="s">
        <v>182</v>
      </c>
      <c r="D63" s="13" t="str">
        <f>IFERROR(INDEX(Epics!$B$2:$B$100,MATCH(C63,Epics!$C$2:$C$100,0)),"")</f>
        <v>ML6</v>
      </c>
      <c r="E63" s="13" t="str">
        <f>IFERROR(INDEX(Milestones!$C$2:$C$25,MATCH(D63,Milestones!$B$2:$B$25,0)),"")</f>
        <v>PH2</v>
      </c>
      <c r="F63" s="13" t="s">
        <v>636</v>
      </c>
      <c r="G63" s="14" t="s">
        <v>637</v>
      </c>
      <c r="H63" s="13" t="s">
        <v>460</v>
      </c>
      <c r="I63" s="13"/>
      <c r="J63" s="13"/>
      <c r="K63" s="13"/>
      <c r="L63" s="13" t="s">
        <v>131</v>
      </c>
      <c r="M63" s="13"/>
      <c r="N63" s="13" t="s">
        <v>638</v>
      </c>
      <c r="O63" s="15">
        <f t="shared" si="1"/>
        <v>0</v>
      </c>
    </row>
    <row r="64" spans="1:15" ht="70.75" customHeight="1" x14ac:dyDescent="0.2">
      <c r="A64" s="13" t="s">
        <v>639</v>
      </c>
      <c r="B64" s="13" t="s">
        <v>367</v>
      </c>
      <c r="C64" s="13" t="s">
        <v>197</v>
      </c>
      <c r="D64" s="13" t="str">
        <f>IFERROR(INDEX(Epics!$B$2:$B$100,MATCH(C64,Epics!$C$2:$C$100,0)),"")</f>
        <v>ML7</v>
      </c>
      <c r="E64" s="13" t="str">
        <f>IFERROR(INDEX(Milestones!$C$2:$C$25,MATCH(D64,Milestones!$B$2:$B$25,0)),"")</f>
        <v>PH2</v>
      </c>
      <c r="F64" s="13" t="s">
        <v>640</v>
      </c>
      <c r="G64" s="14" t="s">
        <v>641</v>
      </c>
      <c r="H64" s="13" t="s">
        <v>438</v>
      </c>
      <c r="I64" s="13"/>
      <c r="J64" s="13"/>
      <c r="K64" s="13"/>
      <c r="L64" s="13" t="s">
        <v>131</v>
      </c>
      <c r="M64" s="13"/>
      <c r="N64" s="13" t="s">
        <v>610</v>
      </c>
      <c r="O64" s="15">
        <f t="shared" si="1"/>
        <v>0</v>
      </c>
    </row>
    <row r="65" spans="1:15" ht="62.5" customHeight="1" x14ac:dyDescent="0.2">
      <c r="A65" s="13" t="s">
        <v>642</v>
      </c>
      <c r="B65" s="13" t="s">
        <v>367</v>
      </c>
      <c r="C65" s="13" t="s">
        <v>197</v>
      </c>
      <c r="D65" s="13" t="str">
        <f>IFERROR(INDEX(Epics!$B$2:$B$100,MATCH(C65,Epics!$C$2:$C$100,0)),"")</f>
        <v>ML7</v>
      </c>
      <c r="E65" s="13" t="str">
        <f>IFERROR(INDEX(Milestones!$C$2:$C$25,MATCH(D65,Milestones!$B$2:$B$25,0)),"")</f>
        <v>PH2</v>
      </c>
      <c r="F65" s="13" t="s">
        <v>643</v>
      </c>
      <c r="G65" s="14" t="s">
        <v>644</v>
      </c>
      <c r="H65" s="13" t="s">
        <v>438</v>
      </c>
      <c r="I65" s="13"/>
      <c r="J65" s="13"/>
      <c r="K65" s="13"/>
      <c r="L65" s="13" t="s">
        <v>131</v>
      </c>
      <c r="M65" s="13"/>
      <c r="N65" s="13" t="s">
        <v>639</v>
      </c>
      <c r="O65" s="15">
        <f t="shared" si="1"/>
        <v>0</v>
      </c>
    </row>
    <row r="66" spans="1:15" ht="61.25" customHeight="1" x14ac:dyDescent="0.2">
      <c r="A66" s="13" t="s">
        <v>645</v>
      </c>
      <c r="B66" s="13" t="s">
        <v>367</v>
      </c>
      <c r="C66" s="13" t="s">
        <v>260</v>
      </c>
      <c r="D66" s="13" t="str">
        <f>IFERROR(INDEX(Epics!$B$2:$B$100,MATCH(C66,Epics!$C$2:$C$100,0)),"")</f>
        <v>ML16</v>
      </c>
      <c r="E66" s="13" t="str">
        <f>IFERROR(INDEX(Milestones!$C$2:$C$25,MATCH(D66,Milestones!$B$2:$B$25,0)),"")</f>
        <v>PH2</v>
      </c>
      <c r="F66" s="13" t="s">
        <v>646</v>
      </c>
      <c r="G66" s="14" t="s">
        <v>647</v>
      </c>
      <c r="H66" s="13" t="s">
        <v>460</v>
      </c>
      <c r="I66" s="13"/>
      <c r="J66" s="13"/>
      <c r="K66" s="13"/>
      <c r="L66" s="13" t="s">
        <v>131</v>
      </c>
      <c r="M66" s="13"/>
      <c r="N66" s="13" t="s">
        <v>642</v>
      </c>
      <c r="O66" s="15">
        <f t="shared" ref="O66:O97" si="2">_xlfn.IFS(ISNUMBER(SEARCH("Done",L66)),100,ISNUMBER(SEARCH("In Progress",L66)),50,TRUE(),0)</f>
        <v>0</v>
      </c>
    </row>
    <row r="67" spans="1:15" ht="57" customHeight="1" x14ac:dyDescent="0.2">
      <c r="A67" s="13" t="s">
        <v>648</v>
      </c>
      <c r="B67" s="13" t="s">
        <v>367</v>
      </c>
      <c r="C67" s="13" t="s">
        <v>194</v>
      </c>
      <c r="D67" s="13" t="str">
        <f>IFERROR(INDEX(Epics!$B$2:$B$100,MATCH(C67,Epics!$C$2:$C$100,0)),"")</f>
        <v>ML7</v>
      </c>
      <c r="E67" s="13" t="str">
        <f>IFERROR(INDEX(Milestones!$C$2:$C$25,MATCH(D67,Milestones!$B$2:$B$25,0)),"")</f>
        <v>PH2</v>
      </c>
      <c r="F67" s="13" t="s">
        <v>649</v>
      </c>
      <c r="G67" s="14" t="s">
        <v>650</v>
      </c>
      <c r="H67" s="13" t="s">
        <v>460</v>
      </c>
      <c r="I67" s="13"/>
      <c r="J67" s="13"/>
      <c r="K67" s="13"/>
      <c r="L67" s="13" t="s">
        <v>131</v>
      </c>
      <c r="M67" s="13"/>
      <c r="N67" s="13" t="s">
        <v>651</v>
      </c>
      <c r="O67" s="15">
        <f t="shared" si="2"/>
        <v>0</v>
      </c>
    </row>
    <row r="68" spans="1:15" ht="71.5" customHeight="1" x14ac:dyDescent="0.2">
      <c r="A68" s="13" t="s">
        <v>652</v>
      </c>
      <c r="B68" s="13" t="s">
        <v>371</v>
      </c>
      <c r="C68" s="13" t="s">
        <v>191</v>
      </c>
      <c r="D68" s="13" t="str">
        <f>IFERROR(INDEX(Epics!$B$2:$B$100,MATCH(C68,Epics!$C$2:$C$100,0)),"")</f>
        <v>ML7</v>
      </c>
      <c r="E68" s="13" t="str">
        <f>IFERROR(INDEX(Milestones!$C$2:$C$25,MATCH(D68,Milestones!$B$2:$B$25,0)),"")</f>
        <v>PH2</v>
      </c>
      <c r="F68" s="13" t="s">
        <v>653</v>
      </c>
      <c r="G68" s="14" t="s">
        <v>654</v>
      </c>
      <c r="H68" s="13" t="s">
        <v>460</v>
      </c>
      <c r="I68" s="13"/>
      <c r="J68" s="13"/>
      <c r="K68" s="13"/>
      <c r="L68" s="13" t="s">
        <v>131</v>
      </c>
      <c r="M68" s="13"/>
      <c r="N68" s="13" t="s">
        <v>582</v>
      </c>
      <c r="O68" s="15">
        <f t="shared" si="2"/>
        <v>0</v>
      </c>
    </row>
    <row r="69" spans="1:15" ht="69" customHeight="1" x14ac:dyDescent="0.2">
      <c r="A69" s="13" t="s">
        <v>655</v>
      </c>
      <c r="B69" s="13" t="s">
        <v>371</v>
      </c>
      <c r="C69" s="13" t="s">
        <v>191</v>
      </c>
      <c r="D69" s="13" t="str">
        <f>IFERROR(INDEX(Epics!$B$2:$B$100,MATCH(C69,Epics!$C$2:$C$100,0)),"")</f>
        <v>ML7</v>
      </c>
      <c r="E69" s="13" t="str">
        <f>IFERROR(INDEX(Milestones!$C$2:$C$25,MATCH(D69,Milestones!$B$2:$B$25,0)),"")</f>
        <v>PH2</v>
      </c>
      <c r="F69" s="13" t="s">
        <v>656</v>
      </c>
      <c r="G69" s="14" t="s">
        <v>657</v>
      </c>
      <c r="H69" s="13" t="s">
        <v>460</v>
      </c>
      <c r="I69" s="13"/>
      <c r="J69" s="13"/>
      <c r="K69" s="13"/>
      <c r="L69" s="13" t="s">
        <v>131</v>
      </c>
      <c r="M69" s="13"/>
      <c r="N69" s="13" t="s">
        <v>658</v>
      </c>
      <c r="O69" s="15">
        <f t="shared" si="2"/>
        <v>0</v>
      </c>
    </row>
    <row r="70" spans="1:15" ht="62.75" customHeight="1" x14ac:dyDescent="0.2">
      <c r="A70" s="13" t="s">
        <v>659</v>
      </c>
      <c r="B70" s="13" t="s">
        <v>371</v>
      </c>
      <c r="C70" s="13" t="s">
        <v>260</v>
      </c>
      <c r="D70" s="13" t="str">
        <f>IFERROR(INDEX(Epics!$B$2:$B$100,MATCH(C70,Epics!$C$2:$C$100,0)),"")</f>
        <v>ML16</v>
      </c>
      <c r="E70" s="13" t="str">
        <f>IFERROR(INDEX(Milestones!$C$2:$C$25,MATCH(D70,Milestones!$B$2:$B$25,0)),"")</f>
        <v>PH2</v>
      </c>
      <c r="F70" s="13" t="s">
        <v>660</v>
      </c>
      <c r="G70" s="14" t="s">
        <v>661</v>
      </c>
      <c r="H70" s="13" t="s">
        <v>460</v>
      </c>
      <c r="I70" s="13"/>
      <c r="J70" s="13"/>
      <c r="K70" s="13"/>
      <c r="L70" s="13" t="s">
        <v>131</v>
      </c>
      <c r="M70" s="13"/>
      <c r="N70" s="13" t="s">
        <v>655</v>
      </c>
      <c r="O70" s="15">
        <f t="shared" si="2"/>
        <v>0</v>
      </c>
    </row>
    <row r="71" spans="1:15" ht="58.75" customHeight="1" x14ac:dyDescent="0.2">
      <c r="A71" s="13" t="s">
        <v>662</v>
      </c>
      <c r="B71" s="13" t="s">
        <v>371</v>
      </c>
      <c r="C71" s="13" t="s">
        <v>191</v>
      </c>
      <c r="D71" s="13" t="str">
        <f>IFERROR(INDEX(Epics!$B$2:$B$100,MATCH(C71,Epics!$C$2:$C$100,0)),"")</f>
        <v>ML7</v>
      </c>
      <c r="E71" s="13" t="str">
        <f>IFERROR(INDEX(Milestones!$C$2:$C$25,MATCH(D71,Milestones!$B$2:$B$25,0)),"")</f>
        <v>PH2</v>
      </c>
      <c r="F71" s="13" t="s">
        <v>663</v>
      </c>
      <c r="G71" s="14" t="s">
        <v>664</v>
      </c>
      <c r="H71" s="13" t="s">
        <v>491</v>
      </c>
      <c r="I71" s="13"/>
      <c r="J71" s="13"/>
      <c r="K71" s="13"/>
      <c r="L71" s="13" t="s">
        <v>131</v>
      </c>
      <c r="M71" s="13"/>
      <c r="N71" s="13" t="s">
        <v>665</v>
      </c>
      <c r="O71" s="15">
        <f t="shared" si="2"/>
        <v>0</v>
      </c>
    </row>
    <row r="72" spans="1:15" ht="68.5" customHeight="1" x14ac:dyDescent="0.2">
      <c r="A72" s="13" t="s">
        <v>666</v>
      </c>
      <c r="B72" s="13" t="s">
        <v>374</v>
      </c>
      <c r="C72" s="13" t="s">
        <v>200</v>
      </c>
      <c r="D72" s="13" t="str">
        <f>IFERROR(INDEX(Epics!$B$2:$B$100,MATCH(C72,Epics!$C$2:$C$100,0)),"")</f>
        <v>ML8</v>
      </c>
      <c r="E72" s="13" t="str">
        <f>IFERROR(INDEX(Milestones!$C$2:$C$25,MATCH(D72,Milestones!$B$2:$B$25,0)),"")</f>
        <v>PH2</v>
      </c>
      <c r="F72" s="13" t="s">
        <v>667</v>
      </c>
      <c r="G72" s="14" t="s">
        <v>668</v>
      </c>
      <c r="H72" s="13" t="s">
        <v>438</v>
      </c>
      <c r="I72" s="13"/>
      <c r="J72" s="13"/>
      <c r="K72" s="13"/>
      <c r="L72" s="13" t="s">
        <v>131</v>
      </c>
      <c r="M72" s="13"/>
      <c r="N72" s="13" t="s">
        <v>582</v>
      </c>
      <c r="O72" s="15">
        <f t="shared" si="2"/>
        <v>0</v>
      </c>
    </row>
    <row r="73" spans="1:15" ht="66.5" customHeight="1" x14ac:dyDescent="0.2">
      <c r="A73" s="13" t="s">
        <v>669</v>
      </c>
      <c r="B73" s="13" t="s">
        <v>374</v>
      </c>
      <c r="C73" s="13" t="s">
        <v>200</v>
      </c>
      <c r="D73" s="13" t="str">
        <f>IFERROR(INDEX(Epics!$B$2:$B$100,MATCH(C73,Epics!$C$2:$C$100,0)),"")</f>
        <v>ML8</v>
      </c>
      <c r="E73" s="13" t="str">
        <f>IFERROR(INDEX(Milestones!$C$2:$C$25,MATCH(D73,Milestones!$B$2:$B$25,0)),"")</f>
        <v>PH2</v>
      </c>
      <c r="F73" s="13" t="s">
        <v>670</v>
      </c>
      <c r="G73" s="14" t="s">
        <v>671</v>
      </c>
      <c r="H73" s="13" t="s">
        <v>438</v>
      </c>
      <c r="I73" s="13"/>
      <c r="J73" s="13"/>
      <c r="K73" s="13"/>
      <c r="L73" s="13" t="s">
        <v>131</v>
      </c>
      <c r="M73" s="13"/>
      <c r="N73" s="13" t="s">
        <v>666</v>
      </c>
      <c r="O73" s="15">
        <f t="shared" si="2"/>
        <v>0</v>
      </c>
    </row>
    <row r="74" spans="1:15" ht="63.25" customHeight="1" x14ac:dyDescent="0.2">
      <c r="A74" s="13" t="s">
        <v>672</v>
      </c>
      <c r="B74" s="13" t="s">
        <v>374</v>
      </c>
      <c r="C74" s="13" t="s">
        <v>263</v>
      </c>
      <c r="D74" s="13" t="str">
        <f>IFERROR(INDEX(Epics!$B$2:$B$100,MATCH(C74,Epics!$C$2:$C$100,0)),"")</f>
        <v>ML17</v>
      </c>
      <c r="E74" s="13" t="str">
        <f>IFERROR(INDEX(Milestones!$C$2:$C$25,MATCH(D74,Milestones!$B$2:$B$25,0)),"")</f>
        <v>PH2</v>
      </c>
      <c r="F74" s="13" t="s">
        <v>673</v>
      </c>
      <c r="G74" s="14" t="s">
        <v>674</v>
      </c>
      <c r="H74" s="13" t="s">
        <v>438</v>
      </c>
      <c r="I74" s="13"/>
      <c r="J74" s="13"/>
      <c r="K74" s="13"/>
      <c r="L74" s="13" t="s">
        <v>131</v>
      </c>
      <c r="M74" s="13"/>
      <c r="N74" s="13" t="s">
        <v>669</v>
      </c>
      <c r="O74" s="15">
        <f t="shared" si="2"/>
        <v>0</v>
      </c>
    </row>
    <row r="75" spans="1:15" ht="60.5" customHeight="1" x14ac:dyDescent="0.2">
      <c r="A75" s="13" t="s">
        <v>675</v>
      </c>
      <c r="B75" s="13" t="s">
        <v>374</v>
      </c>
      <c r="C75" s="13" t="s">
        <v>200</v>
      </c>
      <c r="D75" s="13" t="str">
        <f>IFERROR(INDEX(Epics!$B$2:$B$100,MATCH(C75,Epics!$C$2:$C$100,0)),"")</f>
        <v>ML8</v>
      </c>
      <c r="E75" s="13" t="str">
        <f>IFERROR(INDEX(Milestones!$C$2:$C$25,MATCH(D75,Milestones!$B$2:$B$25,0)),"")</f>
        <v>PH2</v>
      </c>
      <c r="F75" s="13" t="s">
        <v>676</v>
      </c>
      <c r="G75" s="14" t="s">
        <v>677</v>
      </c>
      <c r="H75" s="13" t="s">
        <v>460</v>
      </c>
      <c r="I75" s="13"/>
      <c r="J75" s="13"/>
      <c r="K75" s="13"/>
      <c r="L75" s="13" t="s">
        <v>131</v>
      </c>
      <c r="M75" s="13"/>
      <c r="N75" s="13" t="s">
        <v>678</v>
      </c>
      <c r="O75" s="15">
        <f t="shared" si="2"/>
        <v>0</v>
      </c>
    </row>
    <row r="76" spans="1:15" ht="93.5" customHeight="1" x14ac:dyDescent="0.2">
      <c r="A76" s="13" t="s">
        <v>679</v>
      </c>
      <c r="B76" s="13" t="s">
        <v>378</v>
      </c>
      <c r="C76" s="13" t="s">
        <v>203</v>
      </c>
      <c r="D76" s="13" t="str">
        <f>IFERROR(INDEX(Epics!$B$2:$B$100,MATCH(C76,Epics!$C$2:$C$100,0)),"")</f>
        <v>ML8</v>
      </c>
      <c r="E76" s="13" t="str">
        <f>IFERROR(INDEX(Milestones!$C$2:$C$25,MATCH(D76,Milestones!$B$2:$B$25,0)),"")</f>
        <v>PH2</v>
      </c>
      <c r="F76" s="13" t="s">
        <v>680</v>
      </c>
      <c r="G76" s="14" t="s">
        <v>681</v>
      </c>
      <c r="H76" s="13" t="s">
        <v>438</v>
      </c>
      <c r="I76" s="13"/>
      <c r="J76" s="13"/>
      <c r="K76" s="13"/>
      <c r="L76" s="13" t="s">
        <v>131</v>
      </c>
      <c r="M76" s="13"/>
      <c r="N76" s="13" t="s">
        <v>666</v>
      </c>
      <c r="O76" s="15">
        <f t="shared" si="2"/>
        <v>0</v>
      </c>
    </row>
    <row r="77" spans="1:15" ht="57" customHeight="1" x14ac:dyDescent="0.2">
      <c r="A77" s="13" t="s">
        <v>682</v>
      </c>
      <c r="B77" s="13" t="s">
        <v>378</v>
      </c>
      <c r="C77" s="13" t="s">
        <v>203</v>
      </c>
      <c r="D77" s="13" t="str">
        <f>IFERROR(INDEX(Epics!$B$2:$B$100,MATCH(C77,Epics!$C$2:$C$100,0)),"")</f>
        <v>ML8</v>
      </c>
      <c r="E77" s="13" t="str">
        <f>IFERROR(INDEX(Milestones!$C$2:$C$25,MATCH(D77,Milestones!$B$2:$B$25,0)),"")</f>
        <v>PH2</v>
      </c>
      <c r="F77" s="13" t="s">
        <v>683</v>
      </c>
      <c r="G77" s="14" t="s">
        <v>684</v>
      </c>
      <c r="H77" s="13" t="s">
        <v>438</v>
      </c>
      <c r="I77" s="13"/>
      <c r="J77" s="13"/>
      <c r="K77" s="13"/>
      <c r="L77" s="13" t="s">
        <v>131</v>
      </c>
      <c r="M77" s="13"/>
      <c r="N77" s="13" t="s">
        <v>679</v>
      </c>
      <c r="O77" s="15">
        <f t="shared" si="2"/>
        <v>0</v>
      </c>
    </row>
    <row r="78" spans="1:15" ht="60.5" customHeight="1" x14ac:dyDescent="0.2">
      <c r="A78" s="13" t="s">
        <v>685</v>
      </c>
      <c r="B78" s="13" t="s">
        <v>378</v>
      </c>
      <c r="C78" s="13" t="s">
        <v>263</v>
      </c>
      <c r="D78" s="13" t="str">
        <f>IFERROR(INDEX(Epics!$B$2:$B$100,MATCH(C78,Epics!$C$2:$C$100,0)),"")</f>
        <v>ML17</v>
      </c>
      <c r="E78" s="13" t="str">
        <f>IFERROR(INDEX(Milestones!$C$2:$C$25,MATCH(D78,Milestones!$B$2:$B$25,0)),"")</f>
        <v>PH2</v>
      </c>
      <c r="F78" s="13" t="s">
        <v>686</v>
      </c>
      <c r="G78" s="14" t="s">
        <v>687</v>
      </c>
      <c r="H78" s="13" t="s">
        <v>438</v>
      </c>
      <c r="I78" s="13"/>
      <c r="J78" s="13"/>
      <c r="K78" s="13"/>
      <c r="L78" s="13" t="s">
        <v>131</v>
      </c>
      <c r="M78" s="13"/>
      <c r="N78" s="13" t="s">
        <v>688</v>
      </c>
      <c r="O78" s="15">
        <f t="shared" si="2"/>
        <v>0</v>
      </c>
    </row>
    <row r="79" spans="1:15" ht="57" customHeight="1" x14ac:dyDescent="0.2">
      <c r="A79" s="13" t="s">
        <v>689</v>
      </c>
      <c r="B79" s="13" t="s">
        <v>378</v>
      </c>
      <c r="C79" s="13" t="s">
        <v>203</v>
      </c>
      <c r="D79" s="13" t="str">
        <f>IFERROR(INDEX(Epics!$B$2:$B$100,MATCH(C79,Epics!$C$2:$C$100,0)),"")</f>
        <v>ML8</v>
      </c>
      <c r="E79" s="13" t="str">
        <f>IFERROR(INDEX(Milestones!$C$2:$C$25,MATCH(D79,Milestones!$B$2:$B$25,0)),"")</f>
        <v>PH2</v>
      </c>
      <c r="F79" s="13" t="s">
        <v>690</v>
      </c>
      <c r="G79" s="14" t="s">
        <v>691</v>
      </c>
      <c r="H79" s="13" t="s">
        <v>460</v>
      </c>
      <c r="I79" s="13"/>
      <c r="J79" s="13"/>
      <c r="K79" s="13"/>
      <c r="L79" s="13" t="s">
        <v>131</v>
      </c>
      <c r="M79" s="13"/>
      <c r="N79" s="13" t="s">
        <v>692</v>
      </c>
      <c r="O79" s="15">
        <f t="shared" si="2"/>
        <v>0</v>
      </c>
    </row>
    <row r="80" spans="1:15" ht="70.75" customHeight="1" x14ac:dyDescent="0.2">
      <c r="A80" s="13" t="s">
        <v>693</v>
      </c>
      <c r="B80" s="13" t="s">
        <v>382</v>
      </c>
      <c r="C80" s="13" t="s">
        <v>206</v>
      </c>
      <c r="D80" s="13" t="str">
        <f>IFERROR(INDEX(Epics!$B$2:$B$100,MATCH(C80,Epics!$C$2:$C$100,0)),"")</f>
        <v>ML9</v>
      </c>
      <c r="E80" s="13" t="str">
        <f>IFERROR(INDEX(Milestones!$C$2:$C$25,MATCH(D80,Milestones!$B$2:$B$25,0)),"")</f>
        <v>PH2</v>
      </c>
      <c r="F80" s="13" t="s">
        <v>694</v>
      </c>
      <c r="G80" s="14" t="s">
        <v>695</v>
      </c>
      <c r="H80" s="13" t="s">
        <v>438</v>
      </c>
      <c r="I80" s="13"/>
      <c r="J80" s="13"/>
      <c r="K80" s="13"/>
      <c r="L80" s="13" t="s">
        <v>131</v>
      </c>
      <c r="M80" s="13"/>
      <c r="N80" s="13" t="s">
        <v>582</v>
      </c>
      <c r="O80" s="15">
        <f t="shared" si="2"/>
        <v>0</v>
      </c>
    </row>
    <row r="81" spans="1:15" ht="68.75" customHeight="1" x14ac:dyDescent="0.2">
      <c r="A81" s="13" t="s">
        <v>696</v>
      </c>
      <c r="B81" s="13" t="s">
        <v>382</v>
      </c>
      <c r="C81" s="13" t="s">
        <v>206</v>
      </c>
      <c r="D81" s="13" t="str">
        <f>IFERROR(INDEX(Epics!$B$2:$B$100,MATCH(C81,Epics!$C$2:$C$100,0)),"")</f>
        <v>ML9</v>
      </c>
      <c r="E81" s="13" t="str">
        <f>IFERROR(INDEX(Milestones!$C$2:$C$25,MATCH(D81,Milestones!$B$2:$B$25,0)),"")</f>
        <v>PH2</v>
      </c>
      <c r="F81" s="13" t="s">
        <v>697</v>
      </c>
      <c r="G81" s="14" t="s">
        <v>698</v>
      </c>
      <c r="H81" s="13" t="s">
        <v>438</v>
      </c>
      <c r="I81" s="13"/>
      <c r="J81" s="13"/>
      <c r="K81" s="13"/>
      <c r="L81" s="13" t="s">
        <v>131</v>
      </c>
      <c r="M81" s="13"/>
      <c r="N81" s="13" t="s">
        <v>693</v>
      </c>
      <c r="O81" s="15">
        <f t="shared" si="2"/>
        <v>0</v>
      </c>
    </row>
    <row r="82" spans="1:15" ht="63.75" customHeight="1" x14ac:dyDescent="0.2">
      <c r="A82" s="13" t="s">
        <v>699</v>
      </c>
      <c r="B82" s="13" t="s">
        <v>382</v>
      </c>
      <c r="C82" s="13" t="s">
        <v>307</v>
      </c>
      <c r="D82" s="13" t="str">
        <f>IFERROR(INDEX(Epics!$B$2:$B$100,MATCH(C82,Epics!$C$2:$C$100,0)),"")</f>
        <v>ML9</v>
      </c>
      <c r="E82" s="13" t="str">
        <f>IFERROR(INDEX(Milestones!$C$2:$C$25,MATCH(D82,Milestones!$B$2:$B$25,0)),"")</f>
        <v>PH2</v>
      </c>
      <c r="F82" s="13" t="s">
        <v>700</v>
      </c>
      <c r="G82" s="14" t="s">
        <v>701</v>
      </c>
      <c r="H82" s="13" t="s">
        <v>438</v>
      </c>
      <c r="I82" s="13"/>
      <c r="J82" s="13"/>
      <c r="K82" s="13"/>
      <c r="L82" s="13" t="s">
        <v>131</v>
      </c>
      <c r="M82" s="13"/>
      <c r="N82" s="13" t="s">
        <v>696</v>
      </c>
      <c r="O82" s="15">
        <f t="shared" si="2"/>
        <v>0</v>
      </c>
    </row>
    <row r="83" spans="1:15" ht="57" customHeight="1" x14ac:dyDescent="0.2">
      <c r="A83" s="13" t="s">
        <v>702</v>
      </c>
      <c r="B83" s="13" t="s">
        <v>382</v>
      </c>
      <c r="C83" s="13" t="s">
        <v>206</v>
      </c>
      <c r="D83" s="13" t="str">
        <f>IFERROR(INDEX(Epics!$B$2:$B$100,MATCH(C83,Epics!$C$2:$C$100,0)),"")</f>
        <v>ML9</v>
      </c>
      <c r="E83" s="13" t="str">
        <f>IFERROR(INDEX(Milestones!$C$2:$C$25,MATCH(D83,Milestones!$B$2:$B$25,0)),"")</f>
        <v>PH2</v>
      </c>
      <c r="F83" s="13" t="s">
        <v>703</v>
      </c>
      <c r="G83" s="14" t="s">
        <v>704</v>
      </c>
      <c r="H83" s="13" t="s">
        <v>460</v>
      </c>
      <c r="I83" s="13"/>
      <c r="J83" s="13"/>
      <c r="K83" s="13"/>
      <c r="L83" s="13" t="s">
        <v>131</v>
      </c>
      <c r="M83" s="13"/>
      <c r="N83" s="13" t="s">
        <v>705</v>
      </c>
      <c r="O83" s="15">
        <f t="shared" si="2"/>
        <v>0</v>
      </c>
    </row>
    <row r="84" spans="1:15" ht="76.5" customHeight="1" x14ac:dyDescent="0.2">
      <c r="A84" s="13" t="s">
        <v>706</v>
      </c>
      <c r="B84" s="13" t="s">
        <v>385</v>
      </c>
      <c r="C84" s="13" t="s">
        <v>209</v>
      </c>
      <c r="D84" s="13" t="str">
        <f>IFERROR(INDEX(Epics!$B$2:$B$100,MATCH(C84,Epics!$C$2:$C$100,0)),"")</f>
        <v>ML9</v>
      </c>
      <c r="E84" s="13" t="str">
        <f>IFERROR(INDEX(Milestones!$C$2:$C$25,MATCH(D84,Milestones!$B$2:$B$25,0)),"")</f>
        <v>PH2</v>
      </c>
      <c r="F84" s="13" t="s">
        <v>707</v>
      </c>
      <c r="G84" s="14" t="s">
        <v>708</v>
      </c>
      <c r="H84" s="13" t="s">
        <v>438</v>
      </c>
      <c r="I84" s="13"/>
      <c r="J84" s="13"/>
      <c r="K84" s="13"/>
      <c r="L84" s="13" t="s">
        <v>131</v>
      </c>
      <c r="M84" s="13"/>
      <c r="N84" s="13" t="s">
        <v>693</v>
      </c>
      <c r="O84" s="15">
        <f t="shared" si="2"/>
        <v>0</v>
      </c>
    </row>
    <row r="85" spans="1:15" ht="68.5" customHeight="1" x14ac:dyDescent="0.2">
      <c r="A85" s="13" t="s">
        <v>709</v>
      </c>
      <c r="B85" s="13" t="s">
        <v>385</v>
      </c>
      <c r="C85" s="13" t="s">
        <v>209</v>
      </c>
      <c r="D85" s="13" t="str">
        <f>IFERROR(INDEX(Epics!$B$2:$B$100,MATCH(C85,Epics!$C$2:$C$100,0)),"")</f>
        <v>ML9</v>
      </c>
      <c r="E85" s="13" t="str">
        <f>IFERROR(INDEX(Milestones!$C$2:$C$25,MATCH(D85,Milestones!$B$2:$B$25,0)),"")</f>
        <v>PH2</v>
      </c>
      <c r="F85" s="13" t="s">
        <v>710</v>
      </c>
      <c r="G85" s="14" t="s">
        <v>711</v>
      </c>
      <c r="H85" s="13" t="s">
        <v>438</v>
      </c>
      <c r="I85" s="13"/>
      <c r="J85" s="13"/>
      <c r="K85" s="13"/>
      <c r="L85" s="13" t="s">
        <v>131</v>
      </c>
      <c r="M85" s="13"/>
      <c r="N85" s="13" t="s">
        <v>712</v>
      </c>
      <c r="O85" s="15">
        <f t="shared" si="2"/>
        <v>0</v>
      </c>
    </row>
    <row r="86" spans="1:15" ht="69.25" customHeight="1" x14ac:dyDescent="0.2">
      <c r="A86" s="13" t="s">
        <v>713</v>
      </c>
      <c r="B86" s="13" t="s">
        <v>385</v>
      </c>
      <c r="C86" s="13" t="s">
        <v>307</v>
      </c>
      <c r="D86" s="13" t="str">
        <f>IFERROR(INDEX(Epics!$B$2:$B$100,MATCH(C86,Epics!$C$2:$C$100,0)),"")</f>
        <v>ML9</v>
      </c>
      <c r="E86" s="13" t="str">
        <f>IFERROR(INDEX(Milestones!$C$2:$C$25,MATCH(D86,Milestones!$B$2:$B$25,0)),"")</f>
        <v>PH2</v>
      </c>
      <c r="F86" s="13" t="s">
        <v>714</v>
      </c>
      <c r="G86" s="14" t="s">
        <v>715</v>
      </c>
      <c r="H86" s="13" t="s">
        <v>438</v>
      </c>
      <c r="I86" s="13"/>
      <c r="J86" s="13"/>
      <c r="K86" s="13"/>
      <c r="L86" s="13" t="s">
        <v>131</v>
      </c>
      <c r="M86" s="13"/>
      <c r="N86" s="13" t="s">
        <v>716</v>
      </c>
      <c r="O86" s="15">
        <f t="shared" si="2"/>
        <v>0</v>
      </c>
    </row>
    <row r="87" spans="1:15" ht="57.5" customHeight="1" x14ac:dyDescent="0.2">
      <c r="A87" s="13" t="s">
        <v>717</v>
      </c>
      <c r="B87" s="13" t="s">
        <v>385</v>
      </c>
      <c r="C87" s="13" t="s">
        <v>209</v>
      </c>
      <c r="D87" s="13" t="str">
        <f>IFERROR(INDEX(Epics!$B$2:$B$100,MATCH(C87,Epics!$C$2:$C$100,0)),"")</f>
        <v>ML9</v>
      </c>
      <c r="E87" s="13" t="str">
        <f>IFERROR(INDEX(Milestones!$C$2:$C$25,MATCH(D87,Milestones!$B$2:$B$25,0)),"")</f>
        <v>PH2</v>
      </c>
      <c r="F87" s="13" t="s">
        <v>718</v>
      </c>
      <c r="G87" s="14" t="s">
        <v>719</v>
      </c>
      <c r="H87" s="13" t="s">
        <v>460</v>
      </c>
      <c r="I87" s="13"/>
      <c r="J87" s="13"/>
      <c r="K87" s="13"/>
      <c r="L87" s="13" t="s">
        <v>131</v>
      </c>
      <c r="M87" s="13"/>
      <c r="N87" s="13" t="s">
        <v>720</v>
      </c>
      <c r="O87" s="15">
        <f t="shared" si="2"/>
        <v>0</v>
      </c>
    </row>
    <row r="88" spans="1:15" ht="82.25" customHeight="1" x14ac:dyDescent="0.2">
      <c r="A88" s="13" t="s">
        <v>721</v>
      </c>
      <c r="B88" s="13" t="s">
        <v>388</v>
      </c>
      <c r="C88" s="13" t="s">
        <v>212</v>
      </c>
      <c r="D88" s="13" t="str">
        <f>IFERROR(INDEX(Epics!$B$2:$B$100,MATCH(C88,Epics!$C$2:$C$100,0)),"")</f>
        <v>ML9</v>
      </c>
      <c r="E88" s="13" t="str">
        <f>IFERROR(INDEX(Milestones!$C$2:$C$25,MATCH(D88,Milestones!$B$2:$B$25,0)),"")</f>
        <v>PH2</v>
      </c>
      <c r="F88" s="13" t="s">
        <v>722</v>
      </c>
      <c r="G88" s="14" t="s">
        <v>723</v>
      </c>
      <c r="H88" s="13" t="s">
        <v>438</v>
      </c>
      <c r="I88" s="13"/>
      <c r="J88" s="13"/>
      <c r="K88" s="13"/>
      <c r="L88" s="13" t="s">
        <v>131</v>
      </c>
      <c r="M88" s="13"/>
      <c r="N88" s="13" t="s">
        <v>693</v>
      </c>
      <c r="O88" s="15">
        <f t="shared" si="2"/>
        <v>0</v>
      </c>
    </row>
    <row r="89" spans="1:15" ht="68.75" customHeight="1" x14ac:dyDescent="0.2">
      <c r="A89" s="13" t="s">
        <v>724</v>
      </c>
      <c r="B89" s="13" t="s">
        <v>388</v>
      </c>
      <c r="C89" s="13" t="s">
        <v>212</v>
      </c>
      <c r="D89" s="13" t="str">
        <f>IFERROR(INDEX(Epics!$B$2:$B$100,MATCH(C89,Epics!$C$2:$C$100,0)),"")</f>
        <v>ML9</v>
      </c>
      <c r="E89" s="13" t="str">
        <f>IFERROR(INDEX(Milestones!$C$2:$C$25,MATCH(D89,Milestones!$B$2:$B$25,0)),"")</f>
        <v>PH2</v>
      </c>
      <c r="F89" s="13" t="s">
        <v>725</v>
      </c>
      <c r="G89" s="14" t="s">
        <v>726</v>
      </c>
      <c r="H89" s="13" t="s">
        <v>438</v>
      </c>
      <c r="I89" s="13"/>
      <c r="J89" s="13"/>
      <c r="K89" s="13"/>
      <c r="L89" s="13" t="s">
        <v>131</v>
      </c>
      <c r="M89" s="13"/>
      <c r="N89" s="13" t="s">
        <v>727</v>
      </c>
      <c r="O89" s="15">
        <f t="shared" si="2"/>
        <v>0</v>
      </c>
    </row>
    <row r="90" spans="1:15" ht="72.75" customHeight="1" x14ac:dyDescent="0.2">
      <c r="A90" s="13" t="s">
        <v>728</v>
      </c>
      <c r="B90" s="13" t="s">
        <v>388</v>
      </c>
      <c r="C90" s="13" t="s">
        <v>307</v>
      </c>
      <c r="D90" s="13" t="str">
        <f>IFERROR(INDEX(Epics!$B$2:$B$100,MATCH(C90,Epics!$C$2:$C$100,0)),"")</f>
        <v>ML9</v>
      </c>
      <c r="E90" s="13" t="str">
        <f>IFERROR(INDEX(Milestones!$C$2:$C$25,MATCH(D90,Milestones!$B$2:$B$25,0)),"")</f>
        <v>PH2</v>
      </c>
      <c r="F90" s="13" t="s">
        <v>729</v>
      </c>
      <c r="G90" s="14" t="s">
        <v>730</v>
      </c>
      <c r="H90" s="13" t="s">
        <v>438</v>
      </c>
      <c r="I90" s="13"/>
      <c r="J90" s="13"/>
      <c r="K90" s="13"/>
      <c r="L90" s="13" t="s">
        <v>131</v>
      </c>
      <c r="M90" s="13"/>
      <c r="N90" s="13" t="s">
        <v>731</v>
      </c>
      <c r="O90" s="15">
        <f t="shared" si="2"/>
        <v>0</v>
      </c>
    </row>
    <row r="91" spans="1:15" ht="58" customHeight="1" x14ac:dyDescent="0.2">
      <c r="A91" s="13" t="s">
        <v>732</v>
      </c>
      <c r="B91" s="13" t="s">
        <v>388</v>
      </c>
      <c r="C91" s="13" t="s">
        <v>212</v>
      </c>
      <c r="D91" s="13" t="str">
        <f>IFERROR(INDEX(Epics!$B$2:$B$100,MATCH(C91,Epics!$C$2:$C$100,0)),"")</f>
        <v>ML9</v>
      </c>
      <c r="E91" s="13" t="str">
        <f>IFERROR(INDEX(Milestones!$C$2:$C$25,MATCH(D91,Milestones!$B$2:$B$25,0)),"")</f>
        <v>PH2</v>
      </c>
      <c r="F91" s="13" t="s">
        <v>733</v>
      </c>
      <c r="G91" s="14" t="s">
        <v>734</v>
      </c>
      <c r="H91" s="13" t="s">
        <v>460</v>
      </c>
      <c r="I91" s="13"/>
      <c r="J91" s="13"/>
      <c r="K91" s="13"/>
      <c r="L91" s="13" t="s">
        <v>131</v>
      </c>
      <c r="M91" s="13"/>
      <c r="N91" s="13" t="s">
        <v>735</v>
      </c>
      <c r="O91" s="15">
        <f t="shared" si="2"/>
        <v>0</v>
      </c>
    </row>
    <row r="92" spans="1:15" ht="96" customHeight="1" x14ac:dyDescent="0.2">
      <c r="A92" s="13" t="s">
        <v>736</v>
      </c>
      <c r="B92" s="13" t="s">
        <v>392</v>
      </c>
      <c r="C92" s="13" t="s">
        <v>215</v>
      </c>
      <c r="D92" s="13" t="str">
        <f>IFERROR(INDEX(Epics!$B$2:$B$100,MATCH(C92,Epics!$C$2:$C$100,0)),"")</f>
        <v>ML10</v>
      </c>
      <c r="E92" s="13" t="str">
        <f>IFERROR(INDEX(Milestones!$C$2:$C$25,MATCH(D92,Milestones!$B$2:$B$25,0)),"")</f>
        <v>PH2</v>
      </c>
      <c r="F92" s="13" t="s">
        <v>737</v>
      </c>
      <c r="G92" s="14" t="s">
        <v>738</v>
      </c>
      <c r="H92" s="13" t="s">
        <v>438</v>
      </c>
      <c r="I92" s="13"/>
      <c r="J92" s="13"/>
      <c r="K92" s="13"/>
      <c r="L92" s="13" t="s">
        <v>131</v>
      </c>
      <c r="M92" s="13"/>
      <c r="N92" s="13" t="s">
        <v>439</v>
      </c>
      <c r="O92" s="15">
        <f t="shared" si="2"/>
        <v>0</v>
      </c>
    </row>
    <row r="93" spans="1:15" ht="81.25" customHeight="1" x14ac:dyDescent="0.2">
      <c r="A93" s="13" t="s">
        <v>739</v>
      </c>
      <c r="B93" s="13" t="s">
        <v>392</v>
      </c>
      <c r="C93" s="13" t="s">
        <v>218</v>
      </c>
      <c r="D93" s="13" t="str">
        <f>IFERROR(INDEX(Epics!$B$2:$B$100,MATCH(C93,Epics!$C$2:$C$100,0)),"")</f>
        <v>ML10</v>
      </c>
      <c r="E93" s="13" t="str">
        <f>IFERROR(INDEX(Milestones!$C$2:$C$25,MATCH(D93,Milestones!$B$2:$B$25,0)),"")</f>
        <v>PH2</v>
      </c>
      <c r="F93" s="13" t="s">
        <v>740</v>
      </c>
      <c r="G93" s="14" t="s">
        <v>741</v>
      </c>
      <c r="H93" s="13" t="s">
        <v>438</v>
      </c>
      <c r="I93" s="13"/>
      <c r="J93" s="13"/>
      <c r="K93" s="13"/>
      <c r="L93" s="13" t="s">
        <v>131</v>
      </c>
      <c r="M93" s="13"/>
      <c r="N93" s="13" t="s">
        <v>736</v>
      </c>
      <c r="O93" s="15">
        <f t="shared" si="2"/>
        <v>0</v>
      </c>
    </row>
    <row r="94" spans="1:15" ht="62" customHeight="1" x14ac:dyDescent="0.2">
      <c r="A94" s="13" t="s">
        <v>742</v>
      </c>
      <c r="B94" s="13" t="s">
        <v>392</v>
      </c>
      <c r="C94" s="13" t="s">
        <v>266</v>
      </c>
      <c r="D94" s="13" t="str">
        <f>IFERROR(INDEX(Epics!$B$2:$B$100,MATCH(C94,Epics!$C$2:$C$100,0)),"")</f>
        <v>ML17</v>
      </c>
      <c r="E94" s="13" t="str">
        <f>IFERROR(INDEX(Milestones!$C$2:$C$25,MATCH(D94,Milestones!$B$2:$B$25,0)),"")</f>
        <v>PH2</v>
      </c>
      <c r="F94" s="13" t="s">
        <v>743</v>
      </c>
      <c r="G94" s="14" t="s">
        <v>744</v>
      </c>
      <c r="H94" s="13" t="s">
        <v>438</v>
      </c>
      <c r="I94" s="13"/>
      <c r="J94" s="13"/>
      <c r="K94" s="13"/>
      <c r="L94" s="13" t="s">
        <v>131</v>
      </c>
      <c r="M94" s="13"/>
      <c r="N94" s="13" t="s">
        <v>739</v>
      </c>
      <c r="O94" s="15">
        <f t="shared" si="2"/>
        <v>0</v>
      </c>
    </row>
    <row r="95" spans="1:15" ht="63" customHeight="1" x14ac:dyDescent="0.2">
      <c r="A95" s="13" t="s">
        <v>745</v>
      </c>
      <c r="B95" s="13" t="s">
        <v>392</v>
      </c>
      <c r="C95" s="13" t="s">
        <v>215</v>
      </c>
      <c r="D95" s="13" t="str">
        <f>IFERROR(INDEX(Epics!$B$2:$B$100,MATCH(C95,Epics!$C$2:$C$100,0)),"")</f>
        <v>ML10</v>
      </c>
      <c r="E95" s="13" t="str">
        <f>IFERROR(INDEX(Milestones!$C$2:$C$25,MATCH(D95,Milestones!$B$2:$B$25,0)),"")</f>
        <v>PH2</v>
      </c>
      <c r="F95" s="13" t="s">
        <v>746</v>
      </c>
      <c r="G95" s="14" t="s">
        <v>747</v>
      </c>
      <c r="H95" s="13" t="s">
        <v>460</v>
      </c>
      <c r="I95" s="13"/>
      <c r="J95" s="13"/>
      <c r="K95" s="13"/>
      <c r="L95" s="13" t="s">
        <v>131</v>
      </c>
      <c r="M95" s="13"/>
      <c r="N95" s="13" t="s">
        <v>748</v>
      </c>
      <c r="O95" s="15">
        <f t="shared" si="2"/>
        <v>0</v>
      </c>
    </row>
    <row r="96" spans="1:15" ht="105.25" customHeight="1" x14ac:dyDescent="0.2">
      <c r="A96" s="13" t="s">
        <v>749</v>
      </c>
      <c r="B96" s="13" t="s">
        <v>396</v>
      </c>
      <c r="C96" s="13" t="s">
        <v>221</v>
      </c>
      <c r="D96" s="13" t="str">
        <f>IFERROR(INDEX(Epics!$B$2:$B$100,MATCH(C96,Epics!$C$2:$C$100,0)),"")</f>
        <v>ML10</v>
      </c>
      <c r="E96" s="13" t="str">
        <f>IFERROR(INDEX(Milestones!$C$2:$C$25,MATCH(D96,Milestones!$B$2:$B$25,0)),"")</f>
        <v>PH2</v>
      </c>
      <c r="F96" s="13" t="s">
        <v>750</v>
      </c>
      <c r="G96" s="14" t="s">
        <v>751</v>
      </c>
      <c r="H96" s="13" t="s">
        <v>460</v>
      </c>
      <c r="I96" s="13"/>
      <c r="J96" s="13"/>
      <c r="K96" s="13"/>
      <c r="L96" s="13" t="s">
        <v>131</v>
      </c>
      <c r="M96" s="13"/>
      <c r="N96" s="13" t="s">
        <v>572</v>
      </c>
      <c r="O96" s="15">
        <f t="shared" si="2"/>
        <v>0</v>
      </c>
    </row>
    <row r="97" spans="1:15" ht="57" customHeight="1" x14ac:dyDescent="0.2">
      <c r="A97" s="13" t="s">
        <v>752</v>
      </c>
      <c r="B97" s="13" t="s">
        <v>396</v>
      </c>
      <c r="C97" s="13" t="s">
        <v>266</v>
      </c>
      <c r="D97" s="13" t="str">
        <f>IFERROR(INDEX(Epics!$B$2:$B$100,MATCH(C97,Epics!$C$2:$C$100,0)),"")</f>
        <v>ML17</v>
      </c>
      <c r="E97" s="13" t="str">
        <f>IFERROR(INDEX(Milestones!$C$2:$C$25,MATCH(D97,Milestones!$B$2:$B$25,0)),"")</f>
        <v>PH2</v>
      </c>
      <c r="F97" s="13" t="s">
        <v>753</v>
      </c>
      <c r="G97" s="14" t="s">
        <v>754</v>
      </c>
      <c r="H97" s="13" t="s">
        <v>460</v>
      </c>
      <c r="I97" s="13"/>
      <c r="J97" s="13"/>
      <c r="K97" s="13"/>
      <c r="L97" s="13" t="s">
        <v>131</v>
      </c>
      <c r="M97" s="13"/>
      <c r="N97" s="13" t="s">
        <v>749</v>
      </c>
      <c r="O97" s="15">
        <f t="shared" si="2"/>
        <v>0</v>
      </c>
    </row>
    <row r="98" spans="1:15" ht="59.75" customHeight="1" x14ac:dyDescent="0.2">
      <c r="A98" s="13" t="s">
        <v>755</v>
      </c>
      <c r="B98" s="13" t="s">
        <v>396</v>
      </c>
      <c r="C98" s="13" t="s">
        <v>221</v>
      </c>
      <c r="D98" s="13" t="str">
        <f>IFERROR(INDEX(Epics!$B$2:$B$100,MATCH(C98,Epics!$C$2:$C$100,0)),"")</f>
        <v>ML10</v>
      </c>
      <c r="E98" s="13" t="str">
        <f>IFERROR(INDEX(Milestones!$C$2:$C$25,MATCH(D98,Milestones!$B$2:$B$25,0)),"")</f>
        <v>PH2</v>
      </c>
      <c r="F98" s="13" t="s">
        <v>756</v>
      </c>
      <c r="G98" s="14" t="s">
        <v>757</v>
      </c>
      <c r="H98" s="13" t="s">
        <v>491</v>
      </c>
      <c r="I98" s="13"/>
      <c r="J98" s="13"/>
      <c r="K98" s="13"/>
      <c r="L98" s="13" t="s">
        <v>131</v>
      </c>
      <c r="M98" s="13"/>
      <c r="N98" s="13" t="s">
        <v>758</v>
      </c>
      <c r="O98" s="15">
        <f t="shared" ref="O98:O125" si="3">_xlfn.IFS(ISNUMBER(SEARCH("Done",L98)),100,ISNUMBER(SEARCH("In Progress",L98)),50,TRUE(),0)</f>
        <v>0</v>
      </c>
    </row>
    <row r="99" spans="1:15" ht="74.25" customHeight="1" x14ac:dyDescent="0.2">
      <c r="A99" s="13" t="s">
        <v>759</v>
      </c>
      <c r="B99" s="13" t="s">
        <v>399</v>
      </c>
      <c r="C99" s="13" t="s">
        <v>224</v>
      </c>
      <c r="D99" s="13" t="str">
        <f>IFERROR(INDEX(Epics!$B$2:$B$100,MATCH(C99,Epics!$C$2:$C$100,0)),"")</f>
        <v>ML11</v>
      </c>
      <c r="E99" s="13" t="str">
        <f>IFERROR(INDEX(Milestones!$C$2:$C$25,MATCH(D99,Milestones!$B$2:$B$25,0)),"")</f>
        <v>PH2</v>
      </c>
      <c r="F99" s="13" t="s">
        <v>760</v>
      </c>
      <c r="G99" s="14" t="s">
        <v>761</v>
      </c>
      <c r="H99" s="13" t="s">
        <v>438</v>
      </c>
      <c r="I99" s="13"/>
      <c r="J99" s="13"/>
      <c r="K99" s="13"/>
      <c r="L99" s="13" t="s">
        <v>131</v>
      </c>
      <c r="M99" s="13"/>
      <c r="N99" s="13" t="s">
        <v>762</v>
      </c>
      <c r="O99" s="15">
        <f t="shared" si="3"/>
        <v>0</v>
      </c>
    </row>
    <row r="100" spans="1:15" ht="71" customHeight="1" x14ac:dyDescent="0.2">
      <c r="A100" s="13" t="s">
        <v>763</v>
      </c>
      <c r="B100" s="13" t="s">
        <v>399</v>
      </c>
      <c r="C100" s="13" t="s">
        <v>227</v>
      </c>
      <c r="D100" s="13" t="str">
        <f>IFERROR(INDEX(Epics!$B$2:$B$100,MATCH(C100,Epics!$C$2:$C$100,0)),"")</f>
        <v>ML11</v>
      </c>
      <c r="E100" s="13" t="str">
        <f>IFERROR(INDEX(Milestones!$C$2:$C$25,MATCH(D100,Milestones!$B$2:$B$25,0)),"")</f>
        <v>PH2</v>
      </c>
      <c r="F100" s="13" t="s">
        <v>764</v>
      </c>
      <c r="G100" s="14" t="s">
        <v>765</v>
      </c>
      <c r="H100" s="13" t="s">
        <v>438</v>
      </c>
      <c r="I100" s="13"/>
      <c r="J100" s="13"/>
      <c r="K100" s="13"/>
      <c r="L100" s="13" t="s">
        <v>131</v>
      </c>
      <c r="M100" s="13"/>
      <c r="N100" s="13" t="s">
        <v>759</v>
      </c>
      <c r="O100" s="15">
        <f t="shared" si="3"/>
        <v>0</v>
      </c>
    </row>
    <row r="101" spans="1:15" ht="57" customHeight="1" x14ac:dyDescent="0.2">
      <c r="A101" s="13" t="s">
        <v>766</v>
      </c>
      <c r="B101" s="13" t="s">
        <v>399</v>
      </c>
      <c r="C101" s="13" t="s">
        <v>310</v>
      </c>
      <c r="D101" s="13" t="str">
        <f>IFERROR(INDEX(Epics!$B$2:$B$100,MATCH(C101,Epics!$C$2:$C$100,0)),"")</f>
        <v>ML11</v>
      </c>
      <c r="E101" s="13" t="str">
        <f>IFERROR(INDEX(Milestones!$C$2:$C$25,MATCH(D101,Milestones!$B$2:$B$25,0)),"")</f>
        <v>PH2</v>
      </c>
      <c r="F101" s="13" t="s">
        <v>767</v>
      </c>
      <c r="G101" s="14" t="s">
        <v>768</v>
      </c>
      <c r="H101" s="13" t="s">
        <v>438</v>
      </c>
      <c r="I101" s="13"/>
      <c r="J101" s="13"/>
      <c r="K101" s="13"/>
      <c r="L101" s="13" t="s">
        <v>131</v>
      </c>
      <c r="M101" s="13"/>
      <c r="N101" s="13" t="s">
        <v>763</v>
      </c>
      <c r="O101" s="15">
        <f t="shared" si="3"/>
        <v>0</v>
      </c>
    </row>
    <row r="102" spans="1:15" ht="57" customHeight="1" x14ac:dyDescent="0.2">
      <c r="A102" s="13" t="s">
        <v>769</v>
      </c>
      <c r="B102" s="13" t="s">
        <v>399</v>
      </c>
      <c r="C102" s="13" t="s">
        <v>224</v>
      </c>
      <c r="D102" s="13" t="str">
        <f>IFERROR(INDEX(Epics!$B$2:$B$100,MATCH(C102,Epics!$C$2:$C$100,0)),"")</f>
        <v>ML11</v>
      </c>
      <c r="E102" s="13" t="str">
        <f>IFERROR(INDEX(Milestones!$C$2:$C$25,MATCH(D102,Milestones!$B$2:$B$25,0)),"")</f>
        <v>PH2</v>
      </c>
      <c r="F102" s="13" t="s">
        <v>770</v>
      </c>
      <c r="G102" s="14" t="s">
        <v>771</v>
      </c>
      <c r="H102" s="13" t="s">
        <v>460</v>
      </c>
      <c r="I102" s="13"/>
      <c r="J102" s="13"/>
      <c r="K102" s="13"/>
      <c r="L102" s="13" t="s">
        <v>131</v>
      </c>
      <c r="M102" s="13"/>
      <c r="N102" s="13" t="s">
        <v>772</v>
      </c>
      <c r="O102" s="15">
        <f t="shared" si="3"/>
        <v>0</v>
      </c>
    </row>
    <row r="103" spans="1:15" ht="70.25" customHeight="1" x14ac:dyDescent="0.2">
      <c r="A103" s="13" t="s">
        <v>773</v>
      </c>
      <c r="B103" s="13" t="s">
        <v>402</v>
      </c>
      <c r="C103" s="13" t="s">
        <v>230</v>
      </c>
      <c r="D103" s="13" t="str">
        <f>IFERROR(INDEX(Epics!$B$2:$B$100,MATCH(C103,Epics!$C$2:$C$100,0)),"")</f>
        <v>ML12</v>
      </c>
      <c r="E103" s="13" t="str">
        <f>IFERROR(INDEX(Milestones!$C$2:$C$25,MATCH(D103,Milestones!$B$2:$B$25,0)),"")</f>
        <v>PH2</v>
      </c>
      <c r="F103" s="13" t="s">
        <v>774</v>
      </c>
      <c r="G103" s="14" t="s">
        <v>775</v>
      </c>
      <c r="H103" s="13" t="s">
        <v>438</v>
      </c>
      <c r="I103" s="13"/>
      <c r="J103" s="13"/>
      <c r="K103" s="13"/>
      <c r="L103" s="13" t="s">
        <v>131</v>
      </c>
      <c r="M103" s="13"/>
      <c r="N103" s="13" t="s">
        <v>639</v>
      </c>
      <c r="O103" s="15">
        <f t="shared" si="3"/>
        <v>0</v>
      </c>
    </row>
    <row r="104" spans="1:15" ht="77" customHeight="1" x14ac:dyDescent="0.2">
      <c r="A104" s="13" t="s">
        <v>776</v>
      </c>
      <c r="B104" s="13" t="s">
        <v>402</v>
      </c>
      <c r="C104" s="13" t="s">
        <v>233</v>
      </c>
      <c r="D104" s="13" t="str">
        <f>IFERROR(INDEX(Epics!$B$2:$B$100,MATCH(C104,Epics!$C$2:$C$100,0)),"")</f>
        <v>ML12</v>
      </c>
      <c r="E104" s="13" t="str">
        <f>IFERROR(INDEX(Milestones!$C$2:$C$25,MATCH(D104,Milestones!$B$2:$B$25,0)),"")</f>
        <v>PH2</v>
      </c>
      <c r="F104" s="13" t="s">
        <v>777</v>
      </c>
      <c r="G104" s="14" t="s">
        <v>778</v>
      </c>
      <c r="H104" s="13" t="s">
        <v>438</v>
      </c>
      <c r="I104" s="13"/>
      <c r="J104" s="13"/>
      <c r="K104" s="13"/>
      <c r="L104" s="13" t="s">
        <v>131</v>
      </c>
      <c r="M104" s="13"/>
      <c r="N104" s="13" t="s">
        <v>779</v>
      </c>
      <c r="O104" s="15">
        <f t="shared" si="3"/>
        <v>0</v>
      </c>
    </row>
    <row r="105" spans="1:15" ht="60" customHeight="1" x14ac:dyDescent="0.2">
      <c r="A105" s="13" t="s">
        <v>780</v>
      </c>
      <c r="B105" s="13" t="s">
        <v>402</v>
      </c>
      <c r="C105" s="13" t="s">
        <v>236</v>
      </c>
      <c r="D105" s="13" t="str">
        <f>IFERROR(INDEX(Epics!$B$2:$B$100,MATCH(C105,Epics!$C$2:$C$100,0)),"")</f>
        <v>ML12</v>
      </c>
      <c r="E105" s="13" t="str">
        <f>IFERROR(INDEX(Milestones!$C$2:$C$25,MATCH(D105,Milestones!$B$2:$B$25,0)),"")</f>
        <v>PH2</v>
      </c>
      <c r="F105" s="13" t="s">
        <v>781</v>
      </c>
      <c r="G105" s="14" t="s">
        <v>782</v>
      </c>
      <c r="H105" s="13" t="s">
        <v>460</v>
      </c>
      <c r="I105" s="13"/>
      <c r="J105" s="13"/>
      <c r="K105" s="13"/>
      <c r="L105" s="13" t="s">
        <v>131</v>
      </c>
      <c r="M105" s="13"/>
      <c r="N105" s="13" t="s">
        <v>776</v>
      </c>
      <c r="O105" s="15">
        <f t="shared" si="3"/>
        <v>0</v>
      </c>
    </row>
    <row r="106" spans="1:15" ht="57" customHeight="1" x14ac:dyDescent="0.2">
      <c r="A106" s="13" t="s">
        <v>783</v>
      </c>
      <c r="B106" s="13" t="s">
        <v>402</v>
      </c>
      <c r="C106" s="13" t="s">
        <v>313</v>
      </c>
      <c r="D106" s="13" t="str">
        <f>IFERROR(INDEX(Epics!$B$2:$B$100,MATCH(C106,Epics!$C$2:$C$100,0)),"")</f>
        <v>ML12</v>
      </c>
      <c r="E106" s="13" t="str">
        <f>IFERROR(INDEX(Milestones!$C$2:$C$25,MATCH(D106,Milestones!$B$2:$B$25,0)),"")</f>
        <v>PH2</v>
      </c>
      <c r="F106" s="13" t="s">
        <v>784</v>
      </c>
      <c r="G106" s="14" t="s">
        <v>785</v>
      </c>
      <c r="H106" s="13" t="s">
        <v>460</v>
      </c>
      <c r="I106" s="13"/>
      <c r="J106" s="13"/>
      <c r="K106" s="13"/>
      <c r="L106" s="13" t="s">
        <v>131</v>
      </c>
      <c r="M106" s="13"/>
      <c r="N106" s="13" t="s">
        <v>776</v>
      </c>
      <c r="O106" s="15">
        <f t="shared" si="3"/>
        <v>0</v>
      </c>
    </row>
    <row r="107" spans="1:15" ht="58.25" customHeight="1" x14ac:dyDescent="0.2">
      <c r="A107" s="13" t="s">
        <v>786</v>
      </c>
      <c r="B107" s="13" t="s">
        <v>402</v>
      </c>
      <c r="C107" s="13" t="s">
        <v>230</v>
      </c>
      <c r="D107" s="13" t="str">
        <f>IFERROR(INDEX(Epics!$B$2:$B$100,MATCH(C107,Epics!$C$2:$C$100,0)),"")</f>
        <v>ML12</v>
      </c>
      <c r="E107" s="13" t="str">
        <f>IFERROR(INDEX(Milestones!$C$2:$C$25,MATCH(D107,Milestones!$B$2:$B$25,0)),"")</f>
        <v>PH2</v>
      </c>
      <c r="F107" s="13" t="s">
        <v>787</v>
      </c>
      <c r="G107" s="14" t="s">
        <v>788</v>
      </c>
      <c r="H107" s="13" t="s">
        <v>460</v>
      </c>
      <c r="I107" s="13"/>
      <c r="J107" s="13"/>
      <c r="K107" s="13"/>
      <c r="L107" s="13" t="s">
        <v>131</v>
      </c>
      <c r="M107" s="13"/>
      <c r="N107" s="13" t="s">
        <v>789</v>
      </c>
      <c r="O107" s="15">
        <f t="shared" si="3"/>
        <v>0</v>
      </c>
    </row>
    <row r="108" spans="1:15" ht="75.75" customHeight="1" x14ac:dyDescent="0.2">
      <c r="A108" s="13" t="s">
        <v>790</v>
      </c>
      <c r="B108" s="13" t="s">
        <v>406</v>
      </c>
      <c r="C108" s="13" t="s">
        <v>239</v>
      </c>
      <c r="D108" s="13" t="str">
        <f>IFERROR(INDEX(Epics!$B$2:$B$100,MATCH(C108,Epics!$C$2:$C$100,0)),"")</f>
        <v>ML13</v>
      </c>
      <c r="E108" s="13" t="str">
        <f>IFERROR(INDEX(Milestones!$C$2:$C$25,MATCH(D108,Milestones!$B$2:$B$25,0)),"")</f>
        <v>PH2</v>
      </c>
      <c r="F108" s="13" t="s">
        <v>791</v>
      </c>
      <c r="G108" s="14" t="s">
        <v>792</v>
      </c>
      <c r="H108" s="13" t="s">
        <v>460</v>
      </c>
      <c r="I108" s="13"/>
      <c r="J108" s="13"/>
      <c r="K108" s="13"/>
      <c r="L108" s="13" t="s">
        <v>131</v>
      </c>
      <c r="M108" s="13"/>
      <c r="N108" s="13" t="s">
        <v>793</v>
      </c>
      <c r="O108" s="15">
        <f t="shared" si="3"/>
        <v>0</v>
      </c>
    </row>
    <row r="109" spans="1:15" ht="75" customHeight="1" x14ac:dyDescent="0.2">
      <c r="A109" s="13" t="s">
        <v>794</v>
      </c>
      <c r="B109" s="13" t="s">
        <v>406</v>
      </c>
      <c r="C109" s="13" t="s">
        <v>242</v>
      </c>
      <c r="D109" s="13" t="str">
        <f>IFERROR(INDEX(Epics!$B$2:$B$100,MATCH(C109,Epics!$C$2:$C$100,0)),"")</f>
        <v>ML13</v>
      </c>
      <c r="E109" s="13" t="str">
        <f>IFERROR(INDEX(Milestones!$C$2:$C$25,MATCH(D109,Milestones!$B$2:$B$25,0)),"")</f>
        <v>PH2</v>
      </c>
      <c r="F109" s="13" t="s">
        <v>795</v>
      </c>
      <c r="G109" s="14" t="s">
        <v>796</v>
      </c>
      <c r="H109" s="13" t="s">
        <v>460</v>
      </c>
      <c r="I109" s="13"/>
      <c r="J109" s="13"/>
      <c r="K109" s="13"/>
      <c r="L109" s="13" t="s">
        <v>131</v>
      </c>
      <c r="M109" s="13"/>
      <c r="N109" s="13" t="s">
        <v>439</v>
      </c>
      <c r="O109" s="15">
        <f t="shared" si="3"/>
        <v>0</v>
      </c>
    </row>
    <row r="110" spans="1:15" ht="69.75" customHeight="1" x14ac:dyDescent="0.2">
      <c r="A110" s="13" t="s">
        <v>797</v>
      </c>
      <c r="B110" s="13" t="s">
        <v>406</v>
      </c>
      <c r="C110" s="13" t="s">
        <v>245</v>
      </c>
      <c r="D110" s="13" t="str">
        <f>IFERROR(INDEX(Epics!$B$2:$B$100,MATCH(C110,Epics!$C$2:$C$100,0)),"")</f>
        <v>ML13</v>
      </c>
      <c r="E110" s="13" t="str">
        <f>IFERROR(INDEX(Milestones!$C$2:$C$25,MATCH(D110,Milestones!$B$2:$B$25,0)),"")</f>
        <v>PH2</v>
      </c>
      <c r="F110" s="13" t="s">
        <v>798</v>
      </c>
      <c r="G110" s="14" t="s">
        <v>799</v>
      </c>
      <c r="H110" s="13" t="s">
        <v>438</v>
      </c>
      <c r="I110" s="13"/>
      <c r="J110" s="13"/>
      <c r="K110" s="13"/>
      <c r="L110" s="13" t="s">
        <v>131</v>
      </c>
      <c r="M110" s="13"/>
      <c r="N110" s="13" t="s">
        <v>776</v>
      </c>
      <c r="O110" s="15">
        <f t="shared" si="3"/>
        <v>0</v>
      </c>
    </row>
    <row r="111" spans="1:15" ht="66.25" customHeight="1" x14ac:dyDescent="0.2">
      <c r="A111" s="13" t="s">
        <v>800</v>
      </c>
      <c r="B111" s="13" t="s">
        <v>406</v>
      </c>
      <c r="C111" s="13" t="s">
        <v>239</v>
      </c>
      <c r="D111" s="13" t="str">
        <f>IFERROR(INDEX(Epics!$B$2:$B$100,MATCH(C111,Epics!$C$2:$C$100,0)),"")</f>
        <v>ML13</v>
      </c>
      <c r="E111" s="13" t="str">
        <f>IFERROR(INDEX(Milestones!$C$2:$C$25,MATCH(D111,Milestones!$B$2:$B$25,0)),"")</f>
        <v>PH2</v>
      </c>
      <c r="F111" s="13" t="s">
        <v>801</v>
      </c>
      <c r="G111" s="14" t="s">
        <v>802</v>
      </c>
      <c r="H111" s="13" t="s">
        <v>460</v>
      </c>
      <c r="I111" s="13"/>
      <c r="J111" s="13"/>
      <c r="K111" s="13"/>
      <c r="L111" s="13" t="s">
        <v>131</v>
      </c>
      <c r="M111" s="13"/>
      <c r="N111" s="13" t="s">
        <v>803</v>
      </c>
      <c r="O111" s="15">
        <f t="shared" si="3"/>
        <v>0</v>
      </c>
    </row>
    <row r="112" spans="1:15" ht="63.25" customHeight="1" x14ac:dyDescent="0.2">
      <c r="A112" s="13" t="s">
        <v>804</v>
      </c>
      <c r="B112" s="13" t="s">
        <v>406</v>
      </c>
      <c r="C112" s="13" t="s">
        <v>239</v>
      </c>
      <c r="D112" s="13" t="str">
        <f>IFERROR(INDEX(Epics!$B$2:$B$100,MATCH(C112,Epics!$C$2:$C$100,0)),"")</f>
        <v>ML13</v>
      </c>
      <c r="E112" s="13" t="str">
        <f>IFERROR(INDEX(Milestones!$C$2:$C$25,MATCH(D112,Milestones!$B$2:$B$25,0)),"")</f>
        <v>PH2</v>
      </c>
      <c r="F112" s="13" t="s">
        <v>805</v>
      </c>
      <c r="G112" s="14" t="s">
        <v>806</v>
      </c>
      <c r="H112" s="13" t="s">
        <v>460</v>
      </c>
      <c r="I112" s="13"/>
      <c r="J112" s="13"/>
      <c r="K112" s="13"/>
      <c r="L112" s="13" t="s">
        <v>131</v>
      </c>
      <c r="M112" s="13"/>
      <c r="N112" s="13" t="s">
        <v>803</v>
      </c>
      <c r="O112" s="15">
        <f t="shared" si="3"/>
        <v>0</v>
      </c>
    </row>
    <row r="113" spans="1:15" ht="70.75" customHeight="1" x14ac:dyDescent="0.2">
      <c r="A113" s="13" t="s">
        <v>807</v>
      </c>
      <c r="B113" s="13" t="s">
        <v>410</v>
      </c>
      <c r="C113" s="13" t="s">
        <v>281</v>
      </c>
      <c r="D113" s="13" t="str">
        <f>IFERROR(INDEX(Epics!$B$2:$B$100,MATCH(C113,Epics!$C$2:$C$100,0)),"")</f>
        <v>ML20</v>
      </c>
      <c r="E113" s="13" t="str">
        <f>IFERROR(INDEX(Milestones!$C$2:$C$25,MATCH(D113,Milestones!$B$2:$B$25,0)),"")</f>
        <v>PH3</v>
      </c>
      <c r="F113" s="13" t="s">
        <v>808</v>
      </c>
      <c r="G113" s="14" t="s">
        <v>809</v>
      </c>
      <c r="H113" s="13" t="s">
        <v>438</v>
      </c>
      <c r="I113" s="13"/>
      <c r="J113" s="13"/>
      <c r="K113" s="13"/>
      <c r="L113" s="13" t="s">
        <v>131</v>
      </c>
      <c r="M113" s="13"/>
      <c r="N113" s="13"/>
      <c r="O113" s="15">
        <f t="shared" si="3"/>
        <v>0</v>
      </c>
    </row>
    <row r="114" spans="1:15" ht="68.5" customHeight="1" x14ac:dyDescent="0.2">
      <c r="A114" s="13" t="s">
        <v>810</v>
      </c>
      <c r="B114" s="13" t="s">
        <v>410</v>
      </c>
      <c r="C114" s="13" t="s">
        <v>283</v>
      </c>
      <c r="D114" s="13" t="str">
        <f>IFERROR(INDEX(Epics!$B$2:$B$100,MATCH(C114,Epics!$C$2:$C$100,0)),"")</f>
        <v>ML20</v>
      </c>
      <c r="E114" s="13" t="str">
        <f>IFERROR(INDEX(Milestones!$C$2:$C$25,MATCH(D114,Milestones!$B$2:$B$25,0)),"")</f>
        <v>PH3</v>
      </c>
      <c r="F114" s="13" t="s">
        <v>811</v>
      </c>
      <c r="G114" s="14" t="s">
        <v>812</v>
      </c>
      <c r="H114" s="13" t="s">
        <v>460</v>
      </c>
      <c r="I114" s="13"/>
      <c r="J114" s="13"/>
      <c r="K114" s="13"/>
      <c r="L114" s="13" t="s">
        <v>131</v>
      </c>
      <c r="M114" s="13"/>
      <c r="N114" s="13" t="s">
        <v>807</v>
      </c>
      <c r="O114" s="15">
        <f t="shared" si="3"/>
        <v>0</v>
      </c>
    </row>
    <row r="115" spans="1:15" ht="61" customHeight="1" x14ac:dyDescent="0.2">
      <c r="A115" s="13" t="s">
        <v>813</v>
      </c>
      <c r="B115" s="13" t="s">
        <v>410</v>
      </c>
      <c r="C115" s="13" t="s">
        <v>283</v>
      </c>
      <c r="D115" s="13" t="str">
        <f>IFERROR(INDEX(Epics!$B$2:$B$100,MATCH(C115,Epics!$C$2:$C$100,0)),"")</f>
        <v>ML20</v>
      </c>
      <c r="E115" s="13" t="str">
        <f>IFERROR(INDEX(Milestones!$C$2:$C$25,MATCH(D115,Milestones!$B$2:$B$25,0)),"")</f>
        <v>PH3</v>
      </c>
      <c r="F115" s="13" t="s">
        <v>814</v>
      </c>
      <c r="G115" s="14" t="s">
        <v>815</v>
      </c>
      <c r="H115" s="13" t="s">
        <v>460</v>
      </c>
      <c r="I115" s="13"/>
      <c r="J115" s="13"/>
      <c r="K115" s="13"/>
      <c r="L115" s="13" t="s">
        <v>131</v>
      </c>
      <c r="M115" s="13"/>
      <c r="N115" s="13"/>
      <c r="O115" s="15">
        <f t="shared" si="3"/>
        <v>0</v>
      </c>
    </row>
    <row r="116" spans="1:15" ht="65.25" customHeight="1" x14ac:dyDescent="0.2">
      <c r="A116" s="13" t="s">
        <v>816</v>
      </c>
      <c r="B116" s="13" t="s">
        <v>410</v>
      </c>
      <c r="C116" s="13" t="s">
        <v>281</v>
      </c>
      <c r="D116" s="13" t="str">
        <f>IFERROR(INDEX(Epics!$B$2:$B$100,MATCH(C116,Epics!$C$2:$C$100,0)),"")</f>
        <v>ML20</v>
      </c>
      <c r="E116" s="13" t="str">
        <f>IFERROR(INDEX(Milestones!$C$2:$C$25,MATCH(D116,Milestones!$B$2:$B$25,0)),"")</f>
        <v>PH3</v>
      </c>
      <c r="F116" s="13" t="s">
        <v>817</v>
      </c>
      <c r="G116" s="14" t="s">
        <v>818</v>
      </c>
      <c r="H116" s="13" t="s">
        <v>460</v>
      </c>
      <c r="I116" s="13"/>
      <c r="J116" s="13"/>
      <c r="K116" s="13"/>
      <c r="L116" s="13" t="s">
        <v>131</v>
      </c>
      <c r="M116" s="13"/>
      <c r="N116" s="13" t="s">
        <v>819</v>
      </c>
      <c r="O116" s="15">
        <f t="shared" si="3"/>
        <v>0</v>
      </c>
    </row>
    <row r="117" spans="1:15" ht="71.5" customHeight="1" x14ac:dyDescent="0.2">
      <c r="A117" s="13" t="s">
        <v>820</v>
      </c>
      <c r="B117" s="13" t="s">
        <v>414</v>
      </c>
      <c r="C117" s="13" t="s">
        <v>286</v>
      </c>
      <c r="D117" s="13" t="str">
        <f>IFERROR(INDEX(Epics!$B$2:$B$100,MATCH(C117,Epics!$C$2:$C$100,0)),"")</f>
        <v>ML21</v>
      </c>
      <c r="E117" s="13" t="str">
        <f>IFERROR(INDEX(Milestones!$C$2:$C$25,MATCH(D117,Milestones!$B$2:$B$25,0)),"")</f>
        <v>PH3</v>
      </c>
      <c r="F117" s="13" t="s">
        <v>821</v>
      </c>
      <c r="G117" s="14" t="s">
        <v>822</v>
      </c>
      <c r="H117" s="13" t="s">
        <v>438</v>
      </c>
      <c r="I117" s="13"/>
      <c r="J117" s="13"/>
      <c r="K117" s="13"/>
      <c r="L117" s="13" t="s">
        <v>131</v>
      </c>
      <c r="M117" s="13"/>
      <c r="N117" s="13"/>
      <c r="O117" s="15">
        <f t="shared" si="3"/>
        <v>0</v>
      </c>
    </row>
    <row r="118" spans="1:15" ht="66.75" customHeight="1" x14ac:dyDescent="0.2">
      <c r="A118" s="13" t="s">
        <v>823</v>
      </c>
      <c r="B118" s="13" t="s">
        <v>414</v>
      </c>
      <c r="C118" s="13" t="s">
        <v>289</v>
      </c>
      <c r="D118" s="13" t="str">
        <f>IFERROR(INDEX(Epics!$B$2:$B$100,MATCH(C118,Epics!$C$2:$C$100,0)),"")</f>
        <v>ML21</v>
      </c>
      <c r="E118" s="13" t="str">
        <f>IFERROR(INDEX(Milestones!$C$2:$C$25,MATCH(D118,Milestones!$B$2:$B$25,0)),"")</f>
        <v>PH3</v>
      </c>
      <c r="F118" s="13" t="s">
        <v>824</v>
      </c>
      <c r="G118" s="14" t="s">
        <v>825</v>
      </c>
      <c r="H118" s="13" t="s">
        <v>438</v>
      </c>
      <c r="I118" s="13"/>
      <c r="J118" s="13"/>
      <c r="K118" s="13"/>
      <c r="L118" s="13" t="s">
        <v>131</v>
      </c>
      <c r="M118" s="13"/>
      <c r="N118" s="13" t="s">
        <v>820</v>
      </c>
      <c r="O118" s="15">
        <f t="shared" si="3"/>
        <v>0</v>
      </c>
    </row>
    <row r="119" spans="1:15" ht="59.75" customHeight="1" x14ac:dyDescent="0.2">
      <c r="A119" s="13" t="s">
        <v>826</v>
      </c>
      <c r="B119" s="13" t="s">
        <v>414</v>
      </c>
      <c r="C119" s="13" t="s">
        <v>286</v>
      </c>
      <c r="D119" s="13" t="str">
        <f>IFERROR(INDEX(Epics!$B$2:$B$100,MATCH(C119,Epics!$C$2:$C$100,0)),"")</f>
        <v>ML21</v>
      </c>
      <c r="E119" s="13" t="str">
        <f>IFERROR(INDEX(Milestones!$C$2:$C$25,MATCH(D119,Milestones!$B$2:$B$25,0)),"")</f>
        <v>PH3</v>
      </c>
      <c r="F119" s="13" t="s">
        <v>827</v>
      </c>
      <c r="G119" s="14" t="s">
        <v>828</v>
      </c>
      <c r="H119" s="13" t="s">
        <v>460</v>
      </c>
      <c r="I119" s="13"/>
      <c r="J119" s="13"/>
      <c r="K119" s="13"/>
      <c r="L119" s="13" t="s">
        <v>131</v>
      </c>
      <c r="M119" s="13"/>
      <c r="N119" s="13" t="s">
        <v>829</v>
      </c>
      <c r="O119" s="15">
        <f t="shared" si="3"/>
        <v>0</v>
      </c>
    </row>
    <row r="120" spans="1:15" ht="69.25" customHeight="1" x14ac:dyDescent="0.2">
      <c r="A120" s="13" t="s">
        <v>830</v>
      </c>
      <c r="B120" s="13" t="s">
        <v>417</v>
      </c>
      <c r="C120" s="13" t="s">
        <v>292</v>
      </c>
      <c r="D120" s="13" t="str">
        <f>IFERROR(INDEX(Epics!$B$2:$B$100,MATCH(C120,Epics!$C$2:$C$100,0)),"")</f>
        <v>ML22</v>
      </c>
      <c r="E120" s="13" t="str">
        <f>IFERROR(INDEX(Milestones!$C$2:$C$25,MATCH(D120,Milestones!$B$2:$B$25,0)),"")</f>
        <v>PH3</v>
      </c>
      <c r="F120" s="13" t="s">
        <v>831</v>
      </c>
      <c r="G120" s="14" t="s">
        <v>832</v>
      </c>
      <c r="H120" s="13" t="s">
        <v>438</v>
      </c>
      <c r="I120" s="13"/>
      <c r="J120" s="13"/>
      <c r="K120" s="13"/>
      <c r="L120" s="13" t="s">
        <v>131</v>
      </c>
      <c r="M120" s="13"/>
      <c r="N120" s="13"/>
      <c r="O120" s="15">
        <f t="shared" si="3"/>
        <v>0</v>
      </c>
    </row>
    <row r="121" spans="1:15" ht="76.5" customHeight="1" x14ac:dyDescent="0.2">
      <c r="A121" s="13" t="s">
        <v>833</v>
      </c>
      <c r="B121" s="13" t="s">
        <v>417</v>
      </c>
      <c r="C121" s="13" t="s">
        <v>295</v>
      </c>
      <c r="D121" s="13" t="str">
        <f>IFERROR(INDEX(Epics!$B$2:$B$100,MATCH(C121,Epics!$C$2:$C$100,0)),"")</f>
        <v>ML22</v>
      </c>
      <c r="E121" s="13" t="str">
        <f>IFERROR(INDEX(Milestones!$C$2:$C$25,MATCH(D121,Milestones!$B$2:$B$25,0)),"")</f>
        <v>PH3</v>
      </c>
      <c r="F121" s="13" t="s">
        <v>834</v>
      </c>
      <c r="G121" s="14" t="s">
        <v>835</v>
      </c>
      <c r="H121" s="13" t="s">
        <v>438</v>
      </c>
      <c r="I121" s="13"/>
      <c r="J121" s="13"/>
      <c r="K121" s="13"/>
      <c r="L121" s="13" t="s">
        <v>131</v>
      </c>
      <c r="M121" s="13"/>
      <c r="N121" s="13" t="s">
        <v>830</v>
      </c>
      <c r="O121" s="15">
        <f t="shared" si="3"/>
        <v>0</v>
      </c>
    </row>
    <row r="122" spans="1:15" ht="75" customHeight="1" x14ac:dyDescent="0.2">
      <c r="A122" s="13" t="s">
        <v>836</v>
      </c>
      <c r="B122" s="13" t="s">
        <v>420</v>
      </c>
      <c r="C122" s="13" t="s">
        <v>298</v>
      </c>
      <c r="D122" s="13" t="str">
        <f>IFERROR(INDEX(Epics!$B$2:$B$100,MATCH(C122,Epics!$C$2:$C$100,0)),"")</f>
        <v>ML23</v>
      </c>
      <c r="E122" s="13" t="str">
        <f>IFERROR(INDEX(Milestones!$C$2:$C$25,MATCH(D122,Milestones!$B$2:$B$25,0)),"")</f>
        <v>PH3</v>
      </c>
      <c r="F122" s="13" t="s">
        <v>299</v>
      </c>
      <c r="G122" s="14" t="s">
        <v>837</v>
      </c>
      <c r="H122" s="13" t="s">
        <v>438</v>
      </c>
      <c r="I122" s="13"/>
      <c r="J122" s="13"/>
      <c r="K122" s="13"/>
      <c r="L122" s="13" t="s">
        <v>131</v>
      </c>
      <c r="M122" s="13"/>
      <c r="N122" s="13"/>
      <c r="O122" s="15">
        <f t="shared" si="3"/>
        <v>0</v>
      </c>
    </row>
    <row r="123" spans="1:15" ht="65" customHeight="1" x14ac:dyDescent="0.2">
      <c r="A123" s="13" t="s">
        <v>838</v>
      </c>
      <c r="B123" s="13" t="s">
        <v>420</v>
      </c>
      <c r="C123" s="13" t="s">
        <v>301</v>
      </c>
      <c r="D123" s="13" t="str">
        <f>IFERROR(INDEX(Epics!$B$2:$B$100,MATCH(C123,Epics!$C$2:$C$100,0)),"")</f>
        <v>ML23</v>
      </c>
      <c r="E123" s="13" t="str">
        <f>IFERROR(INDEX(Milestones!$C$2:$C$25,MATCH(D123,Milestones!$B$2:$B$25,0)),"")</f>
        <v>PH3</v>
      </c>
      <c r="F123" s="13" t="s">
        <v>839</v>
      </c>
      <c r="G123" s="14" t="s">
        <v>840</v>
      </c>
      <c r="H123" s="13" t="s">
        <v>460</v>
      </c>
      <c r="I123" s="13"/>
      <c r="J123" s="13"/>
      <c r="K123" s="13"/>
      <c r="L123" s="13" t="s">
        <v>131</v>
      </c>
      <c r="M123" s="13"/>
      <c r="N123" s="13" t="s">
        <v>836</v>
      </c>
      <c r="O123" s="15">
        <f t="shared" si="3"/>
        <v>0</v>
      </c>
    </row>
    <row r="124" spans="1:15" ht="67.25" customHeight="1" x14ac:dyDescent="0.2">
      <c r="A124" s="13" t="s">
        <v>841</v>
      </c>
      <c r="B124" s="13" t="s">
        <v>424</v>
      </c>
      <c r="C124" s="13" t="s">
        <v>304</v>
      </c>
      <c r="D124" s="13" t="str">
        <f>IFERROR(INDEX(Epics!$B$2:$B$100,MATCH(C124,Epics!$C$2:$C$100,0)),"")</f>
        <v>ML24</v>
      </c>
      <c r="E124" s="13" t="str">
        <f>IFERROR(INDEX(Milestones!$C$2:$C$25,MATCH(D124,Milestones!$B$2:$B$25,0)),"")</f>
        <v>PH4</v>
      </c>
      <c r="F124" s="13" t="s">
        <v>842</v>
      </c>
      <c r="G124" s="14" t="s">
        <v>843</v>
      </c>
      <c r="H124" s="13" t="s">
        <v>438</v>
      </c>
      <c r="I124" s="13"/>
      <c r="J124" s="13"/>
      <c r="K124" s="13"/>
      <c r="L124" s="13" t="s">
        <v>131</v>
      </c>
      <c r="M124" s="13"/>
      <c r="N124" s="13" t="s">
        <v>844</v>
      </c>
      <c r="O124" s="15">
        <f t="shared" si="3"/>
        <v>0</v>
      </c>
    </row>
    <row r="125" spans="1:15" ht="67.25" customHeight="1" x14ac:dyDescent="0.2">
      <c r="A125" s="13" t="s">
        <v>845</v>
      </c>
      <c r="B125" s="13" t="s">
        <v>424</v>
      </c>
      <c r="C125" s="13" t="s">
        <v>304</v>
      </c>
      <c r="D125" s="13" t="str">
        <f>IFERROR(INDEX(Epics!$B$2:$B$100,MATCH(C125,Epics!$C$2:$C$100,0)),"")</f>
        <v>ML24</v>
      </c>
      <c r="E125" s="13" t="str">
        <f>IFERROR(INDEX(Milestones!$C$2:$C$25,MATCH(D125,Milestones!$B$2:$B$25,0)),"")</f>
        <v>PH4</v>
      </c>
      <c r="F125" s="13" t="s">
        <v>846</v>
      </c>
      <c r="G125" s="14" t="s">
        <v>847</v>
      </c>
      <c r="H125" s="13" t="s">
        <v>460</v>
      </c>
      <c r="I125" s="13"/>
      <c r="J125" s="13"/>
      <c r="K125" s="13"/>
      <c r="L125" s="13" t="s">
        <v>131</v>
      </c>
      <c r="M125" s="13"/>
      <c r="N125" s="13" t="s">
        <v>841</v>
      </c>
      <c r="O125" s="15">
        <f t="shared" si="3"/>
        <v>0</v>
      </c>
    </row>
  </sheetData>
  <conditionalFormatting sqref="L2:L19">
    <cfRule type="expression" dxfId="17" priority="2">
      <formula>ISNUMBER(SEARCH("Completed",L2))</formula>
    </cfRule>
    <cfRule type="expression" dxfId="16" priority="3">
      <formula>ISNUMBER(SEARCH("Done",L2))</formula>
    </cfRule>
    <cfRule type="expression" dxfId="15" priority="4">
      <formula>ISNUMBER(SEARCH("Progress",L2))</formula>
    </cfRule>
    <cfRule type="expression" dxfId="14" priority="5">
      <formula>ISNUMBER(SEARCH("Blocked",L2))</formula>
    </cfRule>
    <cfRule type="expression" dxfId="13" priority="6">
      <formula>ISNUMBER(SEARCH("Planned",L2))</formula>
    </cfRule>
    <cfRule type="expression" dxfId="12" priority="7">
      <formula>ISNUMBER(SEARCH("Not Started",L2))</formula>
    </cfRule>
  </conditionalFormatting>
  <conditionalFormatting sqref="O2:O19">
    <cfRule type="dataBar" priority="8">
      <dataBar>
        <cfvo type="num" val="0"/>
        <cfvo type="num" val="100"/>
        <color rgb="FF638EC6"/>
      </dataBar>
    </cfRule>
  </conditionalFormatting>
  <pageMargins left="0.75" right="0.75" top="1" bottom="1" header="0.511811023622047" footer="0.511811023622047"/>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
  <sheetViews>
    <sheetView zoomScaleNormal="100" workbookViewId="0">
      <pane ySplit="1" topLeftCell="A2" activePane="bottomLeft" state="frozen"/>
      <selection pane="bottomLeft"/>
    </sheetView>
  </sheetViews>
  <sheetFormatPr baseColWidth="10" defaultColWidth="8.6640625" defaultRowHeight="15" x14ac:dyDescent="0.2"/>
  <cols>
    <col min="1" max="2" width="10" customWidth="1"/>
    <col min="3" max="3" width="26" customWidth="1"/>
    <col min="4" max="5" width="13" customWidth="1"/>
    <col min="6" max="6" width="30" customWidth="1"/>
    <col min="7" max="7" width="14" customWidth="1"/>
    <col min="8" max="8" width="40" customWidth="1"/>
  </cols>
  <sheetData>
    <row r="1" spans="1:8" ht="30" customHeight="1" x14ac:dyDescent="0.2">
      <c r="A1" s="4" t="s">
        <v>848</v>
      </c>
      <c r="B1" s="4" t="s">
        <v>849</v>
      </c>
      <c r="C1" s="4" t="s">
        <v>850</v>
      </c>
      <c r="D1" s="4" t="s">
        <v>6</v>
      </c>
      <c r="E1" s="4" t="s">
        <v>851</v>
      </c>
      <c r="F1" s="4" t="s">
        <v>852</v>
      </c>
      <c r="G1" s="4" t="s">
        <v>10</v>
      </c>
      <c r="H1" s="4" t="s">
        <v>853</v>
      </c>
    </row>
    <row r="2" spans="1:8" ht="23.25" customHeight="1" x14ac:dyDescent="0.2">
      <c r="A2" s="5" t="s">
        <v>854</v>
      </c>
      <c r="B2" s="5" t="s">
        <v>855</v>
      </c>
      <c r="C2" s="5" t="s">
        <v>856</v>
      </c>
      <c r="D2" s="12"/>
      <c r="E2" s="12"/>
      <c r="F2" s="11" t="s">
        <v>857</v>
      </c>
      <c r="G2" s="5" t="str">
        <f>IF(INDEX(Milestones!$K$2:$K$25,MATCH("ML24",Milestones!$B$2:$B$25,0))="✅ Completed","Released",IF(INDEX(Milestones!$K$2:$K$25,MATCH("ML24",Milestones!$B$2:$B$25,0))="🔄 In Progress","In Progress","Planned"))</f>
        <v>Planned</v>
      </c>
      <c r="H2" s="11" t="s">
        <v>858</v>
      </c>
    </row>
  </sheetData>
  <conditionalFormatting sqref="G2">
    <cfRule type="expression" dxfId="11" priority="2">
      <formula>ISNUMBER(SEARCH("Completed",G2))</formula>
    </cfRule>
    <cfRule type="expression" dxfId="10" priority="3">
      <formula>ISNUMBER(SEARCH("Done",G2))</formula>
    </cfRule>
    <cfRule type="expression" dxfId="9" priority="4">
      <formula>ISNUMBER(SEARCH("Progress",G2))</formula>
    </cfRule>
    <cfRule type="expression" dxfId="8" priority="5">
      <formula>ISNUMBER(SEARCH("Blocked",G2))</formula>
    </cfRule>
    <cfRule type="expression" dxfId="7" priority="6">
      <formula>ISNUMBER(SEARCH("Planned",G2))</formula>
    </cfRule>
    <cfRule type="expression" dxfId="6" priority="7">
      <formula>ISNUMBER(SEARCH("Not Started",G2))</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
  <sheetViews>
    <sheetView zoomScaleNormal="100" workbookViewId="0">
      <pane ySplit="1" topLeftCell="A2" activePane="bottomLeft" state="frozen"/>
      <selection pane="bottomLeft"/>
    </sheetView>
  </sheetViews>
  <sheetFormatPr baseColWidth="10" defaultColWidth="8.6640625" defaultRowHeight="15" x14ac:dyDescent="0.2"/>
  <cols>
    <col min="1" max="1" width="12" customWidth="1"/>
    <col min="2" max="2" width="30" customWidth="1"/>
    <col min="3" max="3" width="55" customWidth="1"/>
    <col min="4" max="4" width="12" customWidth="1"/>
    <col min="5" max="5" width="13" customWidth="1"/>
    <col min="6" max="6" width="26" customWidth="1"/>
  </cols>
  <sheetData>
    <row r="1" spans="1:6" ht="30" customHeight="1" x14ac:dyDescent="0.2">
      <c r="A1" s="4" t="s">
        <v>859</v>
      </c>
      <c r="B1" s="4" t="s">
        <v>428</v>
      </c>
      <c r="C1" s="4" t="s">
        <v>860</v>
      </c>
      <c r="D1" s="4" t="s">
        <v>10</v>
      </c>
      <c r="E1" s="4" t="s">
        <v>861</v>
      </c>
      <c r="F1" s="4" t="s">
        <v>862</v>
      </c>
    </row>
    <row r="2" spans="1:6" ht="23.25" customHeight="1" x14ac:dyDescent="0.2">
      <c r="A2" s="5" t="s">
        <v>863</v>
      </c>
      <c r="B2" s="11" t="s">
        <v>864</v>
      </c>
      <c r="C2" s="11" t="s">
        <v>865</v>
      </c>
      <c r="D2" s="5" t="s">
        <v>866</v>
      </c>
      <c r="E2" s="12"/>
      <c r="F2" s="5" t="s">
        <v>867</v>
      </c>
    </row>
  </sheetData>
  <dataValidations count="1">
    <dataValidation type="list" allowBlank="1" sqref="D2:D50" xr:uid="{00000000-0002-0000-0800-000000000000}">
      <formula1>"Proposed,Approved,Rejected,Superseded"</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
  <sheetViews>
    <sheetView zoomScaleNormal="100" workbookViewId="0">
      <pane ySplit="1" topLeftCell="A2" activePane="bottomLeft" state="frozen"/>
      <selection pane="bottomLeft"/>
    </sheetView>
  </sheetViews>
  <sheetFormatPr baseColWidth="10" defaultColWidth="8.6640625" defaultRowHeight="15" x14ac:dyDescent="0.2"/>
  <cols>
    <col min="1" max="1" width="10" customWidth="1"/>
    <col min="2" max="2" width="26" customWidth="1"/>
    <col min="3" max="3" width="46" customWidth="1"/>
    <col min="4" max="4" width="12" customWidth="1"/>
    <col min="5" max="5" width="10" customWidth="1"/>
    <col min="6" max="6" width="12" customWidth="1"/>
    <col min="7" max="7" width="40" customWidth="1"/>
    <col min="8" max="8" width="12" customWidth="1"/>
  </cols>
  <sheetData>
    <row r="1" spans="1:8" ht="30" customHeight="1" x14ac:dyDescent="0.2">
      <c r="A1" s="16" t="s">
        <v>868</v>
      </c>
      <c r="B1" s="16" t="s">
        <v>428</v>
      </c>
      <c r="C1" s="16" t="s">
        <v>4</v>
      </c>
      <c r="D1" s="16" t="s">
        <v>869</v>
      </c>
      <c r="E1" s="16" t="s">
        <v>870</v>
      </c>
      <c r="F1" s="16" t="s">
        <v>8</v>
      </c>
      <c r="G1" s="16" t="s">
        <v>871</v>
      </c>
      <c r="H1" s="16" t="s">
        <v>10</v>
      </c>
    </row>
    <row r="2" spans="1:8" ht="15" customHeight="1" x14ac:dyDescent="0.2">
      <c r="A2" s="2"/>
    </row>
  </sheetData>
  <conditionalFormatting sqref="H2">
    <cfRule type="expression" dxfId="5" priority="2">
      <formula>ISNUMBER(SEARCH("Completed",H2))</formula>
    </cfRule>
    <cfRule type="expression" dxfId="4" priority="3">
      <formula>ISNUMBER(SEARCH("Done",H2))</formula>
    </cfRule>
    <cfRule type="expression" dxfId="3" priority="4">
      <formula>ISNUMBER(SEARCH("Progress",H2))</formula>
    </cfRule>
    <cfRule type="expression" dxfId="2" priority="5">
      <formula>ISNUMBER(SEARCH("Blocked",H2))</formula>
    </cfRule>
    <cfRule type="expression" dxfId="1" priority="6">
      <formula>ISNUMBER(SEARCH("Planned",H2))</formula>
    </cfRule>
    <cfRule type="expression" dxfId="0" priority="7">
      <formula>ISNUMBER(SEARCH("Not Started",H2))</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8"/>
  <sheetViews>
    <sheetView zoomScaleNormal="100" workbookViewId="0"/>
  </sheetViews>
  <sheetFormatPr baseColWidth="10" defaultColWidth="8.6640625" defaultRowHeight="15" x14ac:dyDescent="0.2"/>
  <sheetData>
    <row r="1" spans="1:12" ht="15" customHeight="1" x14ac:dyDescent="0.2">
      <c r="A1" s="17" t="s">
        <v>10</v>
      </c>
      <c r="B1" s="17" t="s">
        <v>872</v>
      </c>
      <c r="C1" s="17" t="s">
        <v>429</v>
      </c>
      <c r="D1" s="17" t="s">
        <v>432</v>
      </c>
      <c r="E1" s="17" t="s">
        <v>8</v>
      </c>
      <c r="F1" s="17" t="s">
        <v>873</v>
      </c>
      <c r="G1" s="17" t="s">
        <v>874</v>
      </c>
      <c r="H1" s="17" t="s">
        <v>869</v>
      </c>
      <c r="I1" s="17" t="s">
        <v>870</v>
      </c>
      <c r="J1" s="17" t="s">
        <v>875</v>
      </c>
      <c r="K1" s="17" t="s">
        <v>876</v>
      </c>
      <c r="L1" s="17" t="s">
        <v>877</v>
      </c>
    </row>
    <row r="2" spans="1:12" ht="15" customHeight="1" x14ac:dyDescent="0.2">
      <c r="A2" t="s">
        <v>112</v>
      </c>
      <c r="B2" t="s">
        <v>112</v>
      </c>
      <c r="C2" t="s">
        <v>491</v>
      </c>
      <c r="D2">
        <v>1</v>
      </c>
      <c r="E2" t="s">
        <v>16</v>
      </c>
      <c r="F2" t="s">
        <v>878</v>
      </c>
      <c r="G2" t="s">
        <v>879</v>
      </c>
      <c r="H2" t="s">
        <v>491</v>
      </c>
      <c r="I2" t="s">
        <v>491</v>
      </c>
      <c r="J2" t="s">
        <v>880</v>
      </c>
      <c r="K2" t="s">
        <v>881</v>
      </c>
      <c r="L2" t="s">
        <v>882</v>
      </c>
    </row>
    <row r="3" spans="1:12" ht="15" customHeight="1" x14ac:dyDescent="0.2">
      <c r="A3" t="s">
        <v>108</v>
      </c>
      <c r="B3" t="s">
        <v>108</v>
      </c>
      <c r="C3" t="s">
        <v>460</v>
      </c>
      <c r="D3">
        <v>2</v>
      </c>
      <c r="E3" t="s">
        <v>883</v>
      </c>
      <c r="F3" t="s">
        <v>884</v>
      </c>
      <c r="G3" t="s">
        <v>885</v>
      </c>
      <c r="H3" t="s">
        <v>460</v>
      </c>
      <c r="I3" t="s">
        <v>460</v>
      </c>
      <c r="J3" t="s">
        <v>886</v>
      </c>
      <c r="K3" t="s">
        <v>887</v>
      </c>
      <c r="L3" t="s">
        <v>888</v>
      </c>
    </row>
    <row r="4" spans="1:12" ht="15" customHeight="1" x14ac:dyDescent="0.2">
      <c r="A4" t="s">
        <v>110</v>
      </c>
      <c r="B4" t="s">
        <v>110</v>
      </c>
      <c r="C4" t="s">
        <v>438</v>
      </c>
      <c r="D4">
        <v>3</v>
      </c>
      <c r="F4" t="s">
        <v>889</v>
      </c>
      <c r="G4" t="s">
        <v>890</v>
      </c>
      <c r="H4" t="s">
        <v>438</v>
      </c>
      <c r="I4" t="s">
        <v>438</v>
      </c>
      <c r="J4" t="s">
        <v>891</v>
      </c>
      <c r="K4" t="s">
        <v>892</v>
      </c>
      <c r="L4" t="s">
        <v>893</v>
      </c>
    </row>
    <row r="5" spans="1:12" ht="15" customHeight="1" x14ac:dyDescent="0.2">
      <c r="A5" t="s">
        <v>128</v>
      </c>
      <c r="B5" t="s">
        <v>106</v>
      </c>
      <c r="C5" t="s">
        <v>894</v>
      </c>
      <c r="D5">
        <v>5</v>
      </c>
      <c r="F5" t="s">
        <v>895</v>
      </c>
      <c r="J5" t="s">
        <v>896</v>
      </c>
      <c r="L5" t="s">
        <v>897</v>
      </c>
    </row>
    <row r="6" spans="1:12" ht="15" customHeight="1" x14ac:dyDescent="0.2">
      <c r="D6">
        <v>8</v>
      </c>
      <c r="J6" t="s">
        <v>898</v>
      </c>
      <c r="L6" t="s">
        <v>899</v>
      </c>
    </row>
    <row r="7" spans="1:12" ht="15" customHeight="1" x14ac:dyDescent="0.2">
      <c r="D7">
        <v>13</v>
      </c>
      <c r="J7" t="s">
        <v>900</v>
      </c>
    </row>
    <row r="8" spans="1:12" ht="15" customHeight="1" x14ac:dyDescent="0.2">
      <c r="D8">
        <v>21</v>
      </c>
      <c r="J8" t="s">
        <v>901</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8"/>
  <sheetViews>
    <sheetView zoomScaleNormal="100" workbookViewId="0">
      <pane ySplit="1" topLeftCell="A2" activePane="bottomLeft" state="frozen"/>
      <selection pane="bottomLeft" activeCell="I3" sqref="I3"/>
    </sheetView>
  </sheetViews>
  <sheetFormatPr baseColWidth="10" defaultColWidth="8.6640625" defaultRowHeight="15" x14ac:dyDescent="0.2"/>
  <cols>
    <col min="1" max="1" width="11" customWidth="1"/>
    <col min="2" max="2" width="13" customWidth="1"/>
    <col min="3" max="3" width="22" customWidth="1"/>
    <col min="4" max="4" width="26" customWidth="1"/>
    <col min="5" max="5" width="10" customWidth="1"/>
    <col min="6" max="6" width="12" customWidth="1"/>
    <col min="7" max="7" width="16" customWidth="1"/>
    <col min="8" max="8" width="14" customWidth="1"/>
    <col min="9" max="9" width="16" customWidth="1"/>
    <col min="10" max="10" width="24" customWidth="1"/>
    <col min="12" max="12" width="22" customWidth="1"/>
    <col min="13" max="13" width="14" customWidth="1"/>
  </cols>
  <sheetData>
    <row r="1" spans="1:13" ht="27.75" customHeight="1" x14ac:dyDescent="0.2">
      <c r="A1" s="4" t="s">
        <v>902</v>
      </c>
      <c r="B1" s="4" t="s">
        <v>861</v>
      </c>
      <c r="C1" s="4" t="s">
        <v>875</v>
      </c>
      <c r="D1" s="4" t="s">
        <v>4</v>
      </c>
      <c r="E1" s="4" t="s">
        <v>876</v>
      </c>
      <c r="F1" s="4" t="s">
        <v>903</v>
      </c>
      <c r="G1" s="4" t="s">
        <v>904</v>
      </c>
      <c r="H1" s="4" t="s">
        <v>905</v>
      </c>
      <c r="I1" s="4" t="s">
        <v>877</v>
      </c>
      <c r="J1" s="4" t="s">
        <v>853</v>
      </c>
      <c r="L1" s="2" t="s">
        <v>875</v>
      </c>
      <c r="M1" s="2" t="s">
        <v>906</v>
      </c>
    </row>
    <row r="2" spans="1:13" x14ac:dyDescent="0.2">
      <c r="A2" s="5" t="s">
        <v>907</v>
      </c>
      <c r="B2" s="12">
        <v>46211</v>
      </c>
      <c r="C2" s="5" t="s">
        <v>891</v>
      </c>
      <c r="D2" s="11" t="s">
        <v>908</v>
      </c>
      <c r="E2" s="5" t="s">
        <v>881</v>
      </c>
      <c r="F2" s="18">
        <v>57.5</v>
      </c>
      <c r="G2" s="19">
        <f>_xlfn.IFS(E2="AED",1,E2="USD",3.673,E2="EUR",4,TRUE(),1)</f>
        <v>1</v>
      </c>
      <c r="H2" s="18">
        <f>F2*G2</f>
        <v>57.5</v>
      </c>
      <c r="I2" s="5" t="s">
        <v>882</v>
      </c>
      <c r="J2" s="11"/>
      <c r="L2" t="s">
        <v>880</v>
      </c>
      <c r="M2" s="20">
        <f t="shared" ref="M2:M8" si="0">SUMIFS($H$2:$H$3,$C$2:$C$3,L2)</f>
        <v>77.132999999999996</v>
      </c>
    </row>
    <row r="3" spans="1:13" x14ac:dyDescent="0.2">
      <c r="A3" s="5" t="s">
        <v>909</v>
      </c>
      <c r="B3" s="12">
        <v>46211</v>
      </c>
      <c r="C3" s="5" t="s">
        <v>880</v>
      </c>
      <c r="D3" s="11" t="s">
        <v>910</v>
      </c>
      <c r="E3" s="5" t="s">
        <v>887</v>
      </c>
      <c r="F3" s="18">
        <v>21</v>
      </c>
      <c r="G3" s="19">
        <f>_xlfn.IFS(E3="AED",1,E3="USD",3.673,E3="EUR",4,TRUE(),1)</f>
        <v>3.673</v>
      </c>
      <c r="H3" s="18">
        <f>F3*G3</f>
        <v>77.132999999999996</v>
      </c>
      <c r="I3" s="5" t="s">
        <v>888</v>
      </c>
      <c r="J3" s="11"/>
      <c r="L3" t="s">
        <v>886</v>
      </c>
      <c r="M3" s="20">
        <f t="shared" si="0"/>
        <v>0</v>
      </c>
    </row>
    <row r="4" spans="1:13" x14ac:dyDescent="0.2">
      <c r="L4" t="s">
        <v>891</v>
      </c>
      <c r="M4" s="20">
        <f t="shared" si="0"/>
        <v>57.5</v>
      </c>
    </row>
    <row r="5" spans="1:13" x14ac:dyDescent="0.2">
      <c r="D5" s="17" t="s">
        <v>911</v>
      </c>
      <c r="H5" s="21">
        <f>SUMPRODUCT((A2:A3&lt;&gt;"")*(H2:H3))</f>
        <v>134.63299999999998</v>
      </c>
      <c r="L5" t="s">
        <v>896</v>
      </c>
      <c r="M5" s="20">
        <f t="shared" si="0"/>
        <v>0</v>
      </c>
    </row>
    <row r="6" spans="1:13" x14ac:dyDescent="0.2">
      <c r="L6" t="s">
        <v>898</v>
      </c>
      <c r="M6" s="20">
        <f t="shared" si="0"/>
        <v>0</v>
      </c>
    </row>
    <row r="7" spans="1:13" x14ac:dyDescent="0.2">
      <c r="L7" t="s">
        <v>900</v>
      </c>
      <c r="M7" s="20">
        <f t="shared" si="0"/>
        <v>0</v>
      </c>
    </row>
    <row r="8" spans="1:13" x14ac:dyDescent="0.2">
      <c r="L8" t="s">
        <v>901</v>
      </c>
      <c r="M8" s="20">
        <f t="shared" si="0"/>
        <v>0</v>
      </c>
    </row>
  </sheetData>
  <pageMargins left="0.75" right="0.75" top="1" bottom="1" header="0.511811023622047" footer="0.511811023622047"/>
  <pageSetup paperSize="9" orientation="portrait" horizontalDpi="300" verticalDpi="300"/>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Phase Tracker</vt:lpstr>
      <vt:lpstr>Milestones</vt:lpstr>
      <vt:lpstr>Epics</vt:lpstr>
      <vt:lpstr>Sprints</vt:lpstr>
      <vt:lpstr>Sprint_Epics</vt:lpstr>
      <vt:lpstr>Stories</vt:lpstr>
      <vt:lpstr>Releases</vt:lpstr>
      <vt:lpstr>Decision_Log</vt:lpstr>
      <vt:lpstr>Risks</vt:lpstr>
      <vt:lpstr>Lookups</vt:lpstr>
      <vt:lpstr>Expenses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shriram.apps2025@gmail.com</cp:lastModifiedBy>
  <cp:revision>3</cp:revision>
  <dcterms:created xsi:type="dcterms:W3CDTF">2026-07-08T17:27:02Z</dcterms:created>
  <dcterms:modified xsi:type="dcterms:W3CDTF">2026-07-12T12:26:38Z</dcterms:modified>
  <dc:language>en-US</dc:language>
</cp:coreProperties>
</file>