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ables/table4.xml" ContentType="application/vnd.openxmlformats-officedocument.spreadsheetml.table+xml"/>
  <Override PartName="/xl/tables/table10.xml" ContentType="application/vnd.openxmlformats-officedocument.spreadsheetml.table+xml"/>
  <Override PartName="/xl/tables/table9.xml" ContentType="application/vnd.openxmlformats-officedocument.spreadsheetml.table+xml"/>
  <Override PartName="/xl/tables/table6.xml" ContentType="application/vnd.openxmlformats-officedocument.spreadsheetml.table+xml"/>
  <Override PartName="/xl/tables/table8.xml" ContentType="application/vnd.openxmlformats-officedocument.spreadsheetml.table+xml"/>
  <Override PartName="/xl/tables/table1.xml" ContentType="application/vnd.openxmlformats-officedocument.spreadsheetml.table+xml"/>
  <Override PartName="/xl/tables/table5.xml" ContentType="application/vnd.openxmlformats-officedocument.spreadsheetml.table+xml"/>
  <Override PartName="/xl/tables/table2.xml" ContentType="application/vnd.openxmlformats-officedocument.spreadsheetml.table+xml"/>
  <Override PartName="/xl/tables/table7.xml" ContentType="application/vnd.openxmlformats-officedocument.spreadsheetml.table+xml"/>
  <Override PartName="/xl/tables/table3.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worksheets/sheet5.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10.xml" ContentType="application/vnd.openxmlformats-officedocument.spreadsheetml.worksheet+xml"/>
  <Override PartName="/xl/worksheets/sheet6.xml" ContentType="application/vnd.openxmlformats-officedocument.spreadsheetml.worksheet+xml"/>
  <Override PartName="/xl/worksheets/sheet1.xml" ContentType="application/vnd.openxmlformats-officedocument.spreadsheetml.worksheet+xml"/>
  <Override PartName="/xl/worksheets/sheet11.xml" ContentType="application/vnd.openxmlformats-officedocument.spreadsheetml.worksheet+xml"/>
  <Override PartName="/xl/worksheets/sheet9.xml" ContentType="application/vnd.openxmlformats-officedocument.spreadsheetml.worksheet+xml"/>
  <Override PartName="/xl/worksheets/sheet12.xml" ContentType="application/vnd.openxmlformats-officedocument.spreadsheetml.worksheet+xml"/>
  <Override PartName="/xl/comments3.xml" ContentType="application/vnd.openxmlformats-officedocument.spreadsheetml.comments+xml"/>
  <Override PartName="/xl/theme/theme1.xml" ContentType="application/vnd.openxmlformats-officedocument.theme+xml"/>
  <Override PartName="/xl/drawings/drawing1.xml" ContentType="application/vnd.openxmlformats-officedocument.drawing+xml"/>
  <Override PartName="/xl/drawings/vmlDrawing1.vml" ContentType="application/vnd.openxmlformats-officedocument.vmlDrawing"/>
  <Override PartName="/xl/drawings/drawing2.xml" ContentType="application/vnd.openxmlformats-officedocument.drawing+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hart3.xml" ContentType="application/vnd.openxmlformats-officedocument.drawingml.chart+xml"/>
  <Override PartName="/xl/charts/colors2.xml" ContentType="application/vnd.ms-office.chartcolorstyle+xml"/>
  <Override PartName="/xl/charts/chart1.xml" ContentType="application/vnd.openxmlformats-officedocument.drawingml.chart+xml"/>
  <Override PartName="/xl/charts/style1.xml" ContentType="application/vnd.ms-office.chartstyle+xml"/>
  <Override PartName="/xl/charts/style3.xml" ContentType="application/vnd.ms-office.chartstyle+xml"/>
  <Override PartName="/xl/charts/colors3.xml" ContentType="application/vnd.ms-office.chartcolorsty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6"/>
  </bookViews>
  <sheets>
    <sheet name="Dashboard" sheetId="1" state="visible" r:id="rId3"/>
    <sheet name="Phase Tracker" sheetId="2" state="visible" r:id="rId4"/>
    <sheet name="Milestones" sheetId="3" state="visible" r:id="rId5"/>
    <sheet name="Epics" sheetId="4" state="visible" r:id="rId6"/>
    <sheet name="Sprints" sheetId="5" state="visible" r:id="rId7"/>
    <sheet name="Sprint_Epics" sheetId="6" state="visible" r:id="rId8"/>
    <sheet name="Stories" sheetId="7" state="visible" r:id="rId9"/>
    <sheet name="Releases" sheetId="8" state="visible" r:id="rId10"/>
    <sheet name="Decision_Log" sheetId="9" state="visible" r:id="rId11"/>
    <sheet name="Risks" sheetId="10" state="visible" r:id="rId12"/>
    <sheet name="Lookups" sheetId="11" state="visible" r:id="rId13"/>
    <sheet name="Expenses" sheetId="12" state="visible" r:id="rId14"/>
  </sheets>
  <calcPr iterateCount="100" refMode="A1" iterate="false" iterateDelta="0.0001"/>
  <extLst>
    <ext xmlns:loext="http://schemas.libreoffice.org/" uri="{7626C862-2A13-11E5-B345-FEFF819CDC9F}">
      <loext:extCalcPr stringRefSyntax="ExcelA1"/>
    </ext>
  </extLst>
</workbook>
</file>

<file path=xl/comments3.xml><?xml version="1.0" encoding="utf-8"?>
<comments xmlns="http://schemas.openxmlformats.org/spreadsheetml/2006/main" xmlns:xdr="http://schemas.openxmlformats.org/drawingml/2006/spreadsheetDrawing">
  <authors>
    <author>Unknown Author</author>
  </authors>
  <commentList>
    <comment ref="L2" authorId="0">
      <text>
        <r>
          <rPr>
            <sz val="10"/>
            <rFont val="Arial"/>
            <family val="2"/>
          </rPr>
          <t xml:space="preserve">Preserved historical total logged before per-story hour tracking existed. Will switch automatically to the SUM of Stories!Actual Hours once those are populated.</t>
        </r>
      </text>
    </comment>
  </commentList>
</comments>
</file>

<file path=xl/sharedStrings.xml><?xml version="1.0" encoding="utf-8"?>
<sst xmlns="http://schemas.openxmlformats.org/spreadsheetml/2006/main" count="1040" uniqueCount="485">
  <si>
    <t xml:space="preserve">AI Marketplace — Project Dashboard</t>
  </si>
  <si>
    <t xml:space="preserve">Live totals come from the tracker. Current phase, milestone, and sprint identify the next planned delivery outcome.</t>
  </si>
  <si>
    <t xml:space="preserve">→ Phase Tracker</t>
  </si>
  <si>
    <t xml:space="preserve">→ Milestones</t>
  </si>
  <si>
    <t xml:space="preserve">→ Epics</t>
  </si>
  <si>
    <t xml:space="preserve">→ Sprints</t>
  </si>
  <si>
    <t xml:space="preserve">→ Stories</t>
  </si>
  <si>
    <t xml:space="preserve">→ Releases</t>
  </si>
  <si>
    <t xml:space="preserve">→ Risks</t>
  </si>
  <si>
    <t xml:space="preserve">→ Decision_Log</t>
  </si>
  <si>
    <t xml:space="preserve">Metric</t>
  </si>
  <si>
    <t xml:space="preserve">Value</t>
  </si>
  <si>
    <t xml:space="preserve">Target</t>
  </si>
  <si>
    <t xml:space="preserve">Status</t>
  </si>
  <si>
    <t xml:space="preserve">Chart Data — Phase Progress</t>
  </si>
  <si>
    <t xml:space="preserve">Chart Data — Story Status</t>
  </si>
  <si>
    <t xml:space="preserve">Overall Progress</t>
  </si>
  <si>
    <t xml:space="preserve">Phase</t>
  </si>
  <si>
    <t xml:space="preserve">Progress %</t>
  </si>
  <si>
    <t xml:space="preserve">✅ Done</t>
  </si>
  <si>
    <t xml:space="preserve">Current Phase</t>
  </si>
  <si>
    <t xml:space="preserve">PH2</t>
  </si>
  <si>
    <t xml:space="preserve">🔄 In Progress</t>
  </si>
  <si>
    <t xml:space="preserve">Current Milestone</t>
  </si>
  <si>
    <t xml:space="preserve">ML2</t>
  </si>
  <si>
    <t xml:space="preserve">🚫 Blocked</t>
  </si>
  <si>
    <t xml:space="preserve">Current Sprint</t>
  </si>
  <si>
    <t xml:space="preserve">SP02</t>
  </si>
  <si>
    <t xml:space="preserve">⏳ Not Started</t>
  </si>
  <si>
    <t xml:space="preserve">Completed Phases</t>
  </si>
  <si>
    <t xml:space="preserve">Completed Milestones</t>
  </si>
  <si>
    <t xml:space="preserve">Completed Epics</t>
  </si>
  <si>
    <t xml:space="preserve">Completed Stories</t>
  </si>
  <si>
    <t xml:space="preserve">Total Stories</t>
  </si>
  <si>
    <t xml:space="preserve">Current Release</t>
  </si>
  <si>
    <t xml:space="preserve">Project Health</t>
  </si>
  <si>
    <t xml:space="preserve">Upcoming Sprint</t>
  </si>
  <si>
    <t xml:space="preserve">SP03</t>
  </si>
  <si>
    <t xml:space="preserve">Blocked Stories</t>
  </si>
  <si>
    <t xml:space="preserve">Open Risks</t>
  </si>
  <si>
    <t xml:space="preserve">Overall Completion %</t>
  </si>
  <si>
    <t xml:space="preserve">Total Project Spend (AED)</t>
  </si>
  <si>
    <t xml:space="preserve">Phase ID</t>
  </si>
  <si>
    <t xml:space="preserve">Description</t>
  </si>
  <si>
    <t xml:space="preserve">Weight</t>
  </si>
  <si>
    <t xml:space="preserve">PH1</t>
  </si>
  <si>
    <t xml:space="preserve">Platform Foundation</t>
  </si>
  <si>
    <t xml:space="preserve">Establish the engineering platform, shared infrastructure, tooling, testing framework, and knowledge base.</t>
  </si>
  <si>
    <t xml:space="preserve">Feature Delivery (Vertical Slices)</t>
  </si>
  <si>
    <t xml:space="preserve">Deliver usable, end-to-end customer, provider, and administrator outcomes: UI, APIs, data model, security rules, and tests in each story.</t>
  </si>
  <si>
    <t xml:space="preserve">PH3</t>
  </si>
  <si>
    <t xml:space="preserve">Production Readiness</t>
  </si>
  <si>
    <t xml:space="preserve">Validate performance, security, operations, quality, and release readiness for the complete product.</t>
  </si>
  <si>
    <t xml:space="preserve">PH4</t>
  </si>
  <si>
    <t xml:space="preserve">MVP Release</t>
  </si>
  <si>
    <t xml:space="preserve">Deploy and hand over the approved AI Marketplace MVP.</t>
  </si>
  <si>
    <t xml:space="preserve">Sr No</t>
  </si>
  <si>
    <t xml:space="preserve">ID</t>
  </si>
  <si>
    <t xml:space="preserve">Milestone</t>
  </si>
  <si>
    <t xml:space="preserve">Start Date</t>
  </si>
  <si>
    <t xml:space="preserve">Target Date</t>
  </si>
  <si>
    <t xml:space="preserve">Actual Completion</t>
  </si>
  <si>
    <t xml:space="preserve">Owner</t>
  </si>
  <si>
    <t xml:space="preserve">Hours Spent</t>
  </si>
  <si>
    <t xml:space="preserve">ML1</t>
  </si>
  <si>
    <t xml:space="preserve">Backend Foundation</t>
  </si>
  <si>
    <t xml:space="preserve">Establish the production-ready engineering foundation, standards, tooling, test framework, and documentation.</t>
  </si>
  <si>
    <t xml:space="preserve">Secure Account Access</t>
  </si>
  <si>
    <t xml:space="preserve">Let a user register, sign in, remain signed in, manage sessions, and access the product according to their role.</t>
  </si>
  <si>
    <t xml:space="preserve">ML3</t>
  </si>
  <si>
    <t xml:space="preserve">Customer Profile &amp; Locations</t>
  </si>
  <si>
    <t xml:space="preserve">Let customers manage their profile, preferences, language, and service locations.</t>
  </si>
  <si>
    <t xml:space="preserve">ML4</t>
  </si>
  <si>
    <t xml:space="preserve">Provider Storefront</t>
  </si>
  <si>
    <t xml:space="preserve">Let providers create and manage a Business or Freelancer storefront.</t>
  </si>
  <si>
    <t xml:space="preserve">ML5</t>
  </si>
  <si>
    <t xml:space="preserve">Provider Verification</t>
  </si>
  <si>
    <t xml:space="preserve">Let providers submit documents and administrators make trustworthy listing decisions.</t>
  </si>
  <si>
    <t xml:space="preserve">ML6</t>
  </si>
  <si>
    <t xml:space="preserve">Directory &amp; Listing Claims</t>
  </si>
  <si>
    <t xml:space="preserve">Let customers browse nearby providers and business owners claim seeded listings.</t>
  </si>
  <si>
    <t xml:space="preserve">ML7</t>
  </si>
  <si>
    <t xml:space="preserve">AI-Guided Service Intake</t>
  </si>
  <si>
    <t xml:space="preserve">Let customers describe a need and receive a structured request even when automation requires admin help.</t>
  </si>
  <si>
    <t xml:space="preserve">ML8</t>
  </si>
  <si>
    <t xml:space="preserve">Matching &amp; Direct Contact</t>
  </si>
  <si>
    <t xml:space="preserve">Let customers see ranked matches and contact an eligible provider directly.</t>
  </si>
  <si>
    <t xml:space="preserve">ML9</t>
  </si>
  <si>
    <t xml:space="preserve">Outcome &amp; Reviews</t>
  </si>
  <si>
    <t xml:space="preserve">Let customers report hiring outcomes and leave anchor-verified reviews.</t>
  </si>
  <si>
    <t xml:space="preserve">ML10</t>
  </si>
  <si>
    <t xml:space="preserve">Provider Leads &amp; Analytics</t>
  </si>
  <si>
    <t xml:space="preserve">Let providers see leads and understand storefront visibility.</t>
  </si>
  <si>
    <t xml:space="preserve">ML11</t>
  </si>
  <si>
    <t xml:space="preserve">Marketplace Operations</t>
  </si>
  <si>
    <t xml:space="preserve">Let administrators resolve verification, manual matching, and marketplace exceptions.</t>
  </si>
  <si>
    <t xml:space="preserve">ML12</t>
  </si>
  <si>
    <t xml:space="preserve">Engagement &amp; Trust</t>
  </si>
  <si>
    <t xml:space="preserve">Let users receive notifications, share profiles, and optionally verify visits.</t>
  </si>
  <si>
    <t xml:space="preserve">ML13</t>
  </si>
  <si>
    <t xml:space="preserve">Performance &amp; Security Hardening</t>
  </si>
  <si>
    <t xml:space="preserve">Ensure the completed marketplace is fast, resilient, secure, and operationally observable.</t>
  </si>
  <si>
    <t xml:space="preserve">ML14</t>
  </si>
  <si>
    <t xml:space="preserve">End-to-End Validation</t>
  </si>
  <si>
    <t xml:space="preserve">Complete regression testing, UAT, accessibility review, and release readiness.</t>
  </si>
  <si>
    <t xml:space="preserve">ML15</t>
  </si>
  <si>
    <t xml:space="preserve">MVP Release v1.0</t>
  </si>
  <si>
    <t xml:space="preserve">Deploy the validated AI Marketplace MVP with monitoring, rollback, and operational handover.</t>
  </si>
  <si>
    <t xml:space="preserve">Project_Tracker_new.xlsx</t>
  </si>
  <si>
    <t xml:space="preserve">Milestone ID</t>
  </si>
  <si>
    <t xml:space="preserve">Epic Code</t>
  </si>
  <si>
    <t xml:space="preserve">Epic</t>
  </si>
  <si>
    <t xml:space="preserve">ML1-EP01</t>
  </si>
  <si>
    <t xml:space="preserve">Establish the complete backend engineering platform and shared infrastructure.</t>
  </si>
  <si>
    <t xml:space="preserve">ML2-EP01</t>
  </si>
  <si>
    <t xml:space="preserve">Account Registration &amp; Sign-In</t>
  </si>
  <si>
    <t xml:space="preserve">Deliver mobile OTP and Google/Apple sign-in end to end.</t>
  </si>
  <si>
    <t xml:space="preserve">ML2-EP02</t>
  </si>
  <si>
    <t xml:space="preserve">Secure Sessions</t>
  </si>
  <si>
    <t xml:space="preserve">Deliver secure session persistence and device management.</t>
  </si>
  <si>
    <t xml:space="preserve">ML2-EP03</t>
  </si>
  <si>
    <t xml:space="preserve">Authorization &amp; Auth Safety</t>
  </si>
  <si>
    <t xml:space="preserve">Deliver role enforcement, audit logging, and auth abuse protections.</t>
  </si>
  <si>
    <t xml:space="preserve">ML3-EP01</t>
  </si>
  <si>
    <t xml:space="preserve">Deliver profile, preferences, bilingual UI, and saved service locations.</t>
  </si>
  <si>
    <t xml:space="preserve">ML4-EP01</t>
  </si>
  <si>
    <t xml:space="preserve">Deliver provider onboarding and storefront management.</t>
  </si>
  <si>
    <t xml:space="preserve">ML5-EP01</t>
  </si>
  <si>
    <t xml:space="preserve">Deliver provider submission and verification status.</t>
  </si>
  <si>
    <t xml:space="preserve">ML5-EP02</t>
  </si>
  <si>
    <t xml:space="preserve">Verification Operations</t>
  </si>
  <si>
    <t xml:space="preserve">Deliver administrator verification review.</t>
  </si>
  <si>
    <t xml:space="preserve">ML6-EP01</t>
  </si>
  <si>
    <t xml:space="preserve">Nearby Directory</t>
  </si>
  <si>
    <t xml:space="preserve">Deliver browse/search by location and category.</t>
  </si>
  <si>
    <t xml:space="preserve">ML6-EP02</t>
  </si>
  <si>
    <t xml:space="preserve">Listing Claims</t>
  </si>
  <si>
    <t xml:space="preserve">Deliver the Google-seeded business claim flow.</t>
  </si>
  <si>
    <t xml:space="preserve">ML7-EP01</t>
  </si>
  <si>
    <t xml:space="preserve">AI Conversation</t>
  </si>
  <si>
    <t xml:space="preserve">Deliver grounded conversational intake.</t>
  </si>
  <si>
    <t xml:space="preserve">ML7-EP02</t>
  </si>
  <si>
    <t xml:space="preserve">Assisted Matching</t>
  </si>
  <si>
    <t xml:space="preserve">Deliver low-confidence routing and search-request creation.</t>
  </si>
  <si>
    <t xml:space="preserve">ML8-EP01</t>
  </si>
  <si>
    <t xml:space="preserve">Ranked Matches</t>
  </si>
  <si>
    <t xml:space="preserve">Deliver ranked provider match results.</t>
  </si>
  <si>
    <t xml:space="preserve">ML8-EP02</t>
  </si>
  <si>
    <t xml:space="preserve">Direct Contact</t>
  </si>
  <si>
    <t xml:space="preserve">Deliver direct contact reveal with self-dealing protection.</t>
  </si>
  <si>
    <t xml:space="preserve">ML9-EP01</t>
  </si>
  <si>
    <t xml:space="preserve">Outcomes &amp; Reviews</t>
  </si>
  <si>
    <t xml:space="preserve">Deliver outcome tagging and anchor-verified reviews.</t>
  </si>
  <si>
    <t xml:space="preserve">ML10-EP01</t>
  </si>
  <si>
    <t xml:space="preserve">Deliver provider leads and visibility analytics.</t>
  </si>
  <si>
    <t xml:space="preserve">ML11-EP01</t>
  </si>
  <si>
    <t xml:space="preserve">Admin Marketplace Operations</t>
  </si>
  <si>
    <t xml:space="preserve">Deliver operational queues and dashboard.</t>
  </si>
  <si>
    <t xml:space="preserve">ML12-EP01</t>
  </si>
  <si>
    <t xml:space="preserve">Notifications &amp; Trust</t>
  </si>
  <si>
    <t xml:space="preserve">Deliver notification preferences, profile sharing, and visit verification.</t>
  </si>
  <si>
    <t xml:space="preserve">ML13-EP01</t>
  </si>
  <si>
    <t xml:space="preserve">Performance &amp; Resilience</t>
  </si>
  <si>
    <t xml:space="preserve">Optimize core user journeys.</t>
  </si>
  <si>
    <t xml:space="preserve">ML13-EP02</t>
  </si>
  <si>
    <t xml:space="preserve">Security Hardening</t>
  </si>
  <si>
    <t xml:space="preserve">Validate and harden product security.</t>
  </si>
  <si>
    <t xml:space="preserve">ML14-EP01</t>
  </si>
  <si>
    <t xml:space="preserve">Release Validation</t>
  </si>
  <si>
    <t xml:space="preserve">Complete end-to-end testing and UAT.</t>
  </si>
  <si>
    <t xml:space="preserve">ML15-EP01</t>
  </si>
  <si>
    <t xml:space="preserve">MVP Deployment</t>
  </si>
  <si>
    <t xml:space="preserve">Deploy and hand over the production MVP.</t>
  </si>
  <si>
    <t xml:space="preserve">Sprint ID</t>
  </si>
  <si>
    <t xml:space="preserve">Sprint</t>
  </si>
  <si>
    <t xml:space="preserve">Theme</t>
  </si>
  <si>
    <t xml:space="preserve">Goal</t>
  </si>
  <si>
    <t xml:space="preserve">End Date</t>
  </si>
  <si>
    <t xml:space="preserve">Planned Stories</t>
  </si>
  <si>
    <t xml:space="preserve">Milestones</t>
  </si>
  <si>
    <t xml:space="preserve">Phases</t>
  </si>
  <si>
    <t xml:space="preserve">Summary Document</t>
  </si>
  <si>
    <t xml:space="preserve">SP01</t>
  </si>
  <si>
    <t xml:space="preserve">Sprint 1</t>
  </si>
  <si>
    <t xml:space="preserve">Establish the production-ready backend engineering platform and shared infrastructure.</t>
  </si>
  <si>
    <t xml:space="preserve">Sprint 2</t>
  </si>
  <si>
    <t xml:space="preserve">A user can register or sign in, stay securely signed in, and access only authorized capabilities end to end.</t>
  </si>
  <si>
    <t xml:space="preserve">Sprint 3</t>
  </si>
  <si>
    <t xml:space="preserve">A signed-in customer can personalize the app and select where they need a service.</t>
  </si>
  <si>
    <t xml:space="preserve">SP04</t>
  </si>
  <si>
    <t xml:space="preserve">Sprint 4</t>
  </si>
  <si>
    <t xml:space="preserve">A provider can create and manage a complete business or freelancer listing.</t>
  </si>
  <si>
    <t xml:space="preserve">SP05</t>
  </si>
  <si>
    <t xml:space="preserve">Sprint 5</t>
  </si>
  <si>
    <t xml:space="preserve">A provider can submit verification and an administrator can approve or reject it.</t>
  </si>
  <si>
    <t xml:space="preserve">SP06</t>
  </si>
  <si>
    <t xml:space="preserve">Sprint 6</t>
  </si>
  <si>
    <t xml:space="preserve">A customer can browse nearby providers and an owner can claim a seeded listing.</t>
  </si>
  <si>
    <t xml:space="preserve">SP07</t>
  </si>
  <si>
    <t xml:space="preserve">Sprint 7</t>
  </si>
  <si>
    <t xml:space="preserve">A customer can describe a need and receive a structured request, including manual fallback.</t>
  </si>
  <si>
    <t xml:space="preserve">SP08</t>
  </si>
  <si>
    <t xml:space="preserve">Sprint 8</t>
  </si>
  <si>
    <t xml:space="preserve">A customer can view ranked matches and contact an eligible provider directly.</t>
  </si>
  <si>
    <t xml:space="preserve">SP09</t>
  </si>
  <si>
    <t xml:space="preserve">Sprint 9</t>
  </si>
  <si>
    <t xml:space="preserve">A customer can share hiring outcomes and verified feedback.</t>
  </si>
  <si>
    <t xml:space="preserve">SP10</t>
  </si>
  <si>
    <t xml:space="preserve">Sprint 10</t>
  </si>
  <si>
    <t xml:space="preserve">A provider can see leads and storefront visibility.</t>
  </si>
  <si>
    <t xml:space="preserve">SP11</t>
  </si>
  <si>
    <t xml:space="preserve">Sprint 11</t>
  </si>
  <si>
    <t xml:space="preserve">An administrator can operate verification, matching, and exception workflows.</t>
  </si>
  <si>
    <t xml:space="preserve">SP12</t>
  </si>
  <si>
    <t xml:space="preserve">Sprint 12</t>
  </si>
  <si>
    <t xml:space="preserve">Users can receive notifications, share profiles, and verify visits.</t>
  </si>
  <si>
    <t xml:space="preserve">SP13</t>
  </si>
  <si>
    <t xml:space="preserve">Sprint 13</t>
  </si>
  <si>
    <t xml:space="preserve">Performance &amp; Security</t>
  </si>
  <si>
    <t xml:space="preserve">The completed product is faster, more resilient, and security-hardened.</t>
  </si>
  <si>
    <t xml:space="preserve">SP14</t>
  </si>
  <si>
    <t xml:space="preserve">Sprint 14</t>
  </si>
  <si>
    <t xml:space="preserve">The product passes UAT and release-readiness validation.</t>
  </si>
  <si>
    <t xml:space="preserve">SP15</t>
  </si>
  <si>
    <t xml:space="preserve">Sprint 15</t>
  </si>
  <si>
    <t xml:space="preserve">The AI Marketplace MVP is deployed and operationally handed over.</t>
  </si>
  <si>
    <t xml:space="preserve">Story ID</t>
  </si>
  <si>
    <t xml:space="preserve">Title</t>
  </si>
  <si>
    <t xml:space="preserve">Acceptance Criteria</t>
  </si>
  <si>
    <t xml:space="preserve">Priority</t>
  </si>
  <si>
    <t xml:space="preserve">Estimate (Hours)</t>
  </si>
  <si>
    <t xml:space="preserve">Actual Hours</t>
  </si>
  <si>
    <t xml:space="preserve">Story Points</t>
  </si>
  <si>
    <t xml:space="preserve">Assignee</t>
  </si>
  <si>
    <t xml:space="preserve">Depends On</t>
  </si>
  <si>
    <t xml:space="preserve">BF-001</t>
  </si>
  <si>
    <t xml:space="preserve">FastAPI Project Structure</t>
  </si>
  <si>
    <t xml:space="preserve">As a developer, I want a standardized FastAPI project structure so the codebase is modular and scalable.
Acceptance criteria: approved folder structure; application starts successfully.</t>
  </si>
  <si>
    <t xml:space="preserve">High</t>
  </si>
  <si>
    <t xml:space="preserve">BF-002</t>
  </si>
  <si>
    <t xml:space="preserve">Centralized Configuration</t>
  </si>
  <si>
    <t xml:space="preserve">As a developer, I want configuration centralized, validated, and loaded from environment variables so the application is secure and environment independent.
Acceptance criteria: Pydantic Settings loads .env; no hardcoded configuration.</t>
  </si>
  <si>
    <t xml:space="preserve">BF-003</t>
  </si>
  <si>
    <t xml:space="preserve">Database Connectivity</t>
  </si>
  <si>
    <t xml:space="preserve">As a developer, I want async SQLAlchemy and PostgreSQL connectivity so the application persists data reliably.
Acceptance criteria: application connects successfully to PostgreSQL.</t>
  </si>
  <si>
    <t xml:space="preserve">BF-004</t>
  </si>
  <si>
    <t xml:space="preserve">Alembic Migrations</t>
  </si>
  <si>
    <t xml:space="preserve">As a developer, I want version-controlled database migrations.
Acceptance criteria: an initial migration can be created and applied.</t>
  </si>
  <si>
    <t xml:space="preserve">BF-005</t>
  </si>
  <si>
    <t xml:space="preserve">Application Lifecycle Management</t>
  </si>
  <si>
    <t xml:space="preserve">As a developer, I want application startup and shutdown managed safely.
Acceptance criteria: lifespan events initialize and release resources without errors.</t>
  </si>
  <si>
    <t xml:space="preserve">BF-006</t>
  </si>
  <si>
    <t xml:space="preserve">API Versioning</t>
  </si>
  <si>
    <t xml:space="preserve">As a developer, I want API versioning so future API changes remain compatible.
Acceptance criteria: endpoints are available under /api/v1.</t>
  </si>
  <si>
    <t xml:space="preserve">BF-007</t>
  </si>
  <si>
    <t xml:space="preserve">Health Check Endpoints</t>
  </si>
  <si>
    <t xml:space="preserve">As a developer, I want health checks so I can verify application and database availability.
Acceptance criteria: application and database health endpoints respond correctly.</t>
  </si>
  <si>
    <t xml:space="preserve">BF-008</t>
  </si>
  <si>
    <t xml:space="preserve">Structured Logging</t>
  </si>
  <si>
    <t xml:space="preserve">As a developer, I want structured logging so application behavior is easy to monitor and troubleshoot.
Acceptance criteria: requests, errors, and startup events are logged consistently.</t>
  </si>
  <si>
    <t xml:space="preserve">Medium</t>
  </si>
  <si>
    <t xml:space="preserve">BF-009</t>
  </si>
  <si>
    <t xml:space="preserve">Global Exception Handling</t>
  </si>
  <si>
    <t xml:space="preserve">As a developer, I want consistent API errors.
Acceptance criteria: validation, business, and unexpected exceptions return standardized responses.</t>
  </si>
  <si>
    <t xml:space="preserve">BF-010</t>
  </si>
  <si>
    <t xml:space="preserve">Standardized API Response Models</t>
  </si>
  <si>
    <t xml:space="preserve">As a developer, I want reusable response models so every endpoint returns a consistent contract.
Acceptance criteria: success, paginated, and error schemas are reusable and tested.</t>
  </si>
  <si>
    <t xml:space="preserve">BF-011</t>
  </si>
  <si>
    <t xml:space="preserve">Security Utilities</t>
  </si>
  <si>
    <t xml:space="preserve">As a developer, I want password hashing, JWT helpers, and security dependencies prepared for authentication.
Acceptance criteria: utilities are available without introducing business features.</t>
  </si>
  <si>
    <t xml:space="preserve">BF-012</t>
  </si>
  <si>
    <t xml:space="preserve">Repository Layer</t>
  </si>
  <si>
    <t xml:space="preserve">As a developer, I want data access isolated from business logic.
Acceptance criteria: base repository and repository interfaces are implemented.</t>
  </si>
  <si>
    <t xml:space="preserve">BF-013</t>
  </si>
  <si>
    <t xml:space="preserve">Service Layer &amp; Repository Contracts</t>
  </si>
  <si>
    <t xml:space="preserve">As a developer, I want services separated from routers and repositories.
Acceptance criteria: Router → Service → Repository → Database pattern is enforced.</t>
  </si>
  <si>
    <t xml:space="preserve">BF-014</t>
  </si>
  <si>
    <t xml:space="preserve">Request Middleware &amp; Correlation IDs</t>
  </si>
  <si>
    <t xml:space="preserve">As a developer, I want traceable requests without per-route logging.
Acceptance criteria: correlation IDs, safe request logging, timing, and tests are in place.</t>
  </si>
  <si>
    <t xml:space="preserve">BF-015</t>
  </si>
  <si>
    <t xml:space="preserve">OpenAPI Documentation</t>
  </si>
  <si>
    <t xml:space="preserve">As a developer, I want generated API documentation.
Acceptance criteria: Swagger and ReDoc expose documented /api/v1 endpoints.</t>
  </si>
  <si>
    <t xml:space="preserve">BF-016</t>
  </si>
  <si>
    <t xml:space="preserve">Backend Testing Framework</t>
  </si>
  <si>
    <t xml:space="preserve">As a developer, I want a reusable automated test framework.
Acceptance criteria: Pytest is configured and at least one automated test runs.</t>
  </si>
  <si>
    <t xml:space="preserve">BF-017</t>
  </si>
  <si>
    <t xml:space="preserve">Code Quality Tooling</t>
  </si>
  <si>
    <t xml:space="preserve">As a developer, I want automated Python quality checks.
Acceptance criteria: Ruff is configured and the backend passes it.</t>
  </si>
  <si>
    <t xml:space="preserve">BF-018</t>
  </si>
  <si>
    <t xml:space="preserve">Project Documentation</t>
  </si>
  <si>
    <t xml:space="preserve">As a contributor, I want current project documentation so implementation follows approved product and engineering decisions.
Acceptance criteria: the centralized project knowledge base is available.</t>
  </si>
  <si>
    <t xml:space="preserve">AUTH-001</t>
  </si>
  <si>
    <t xml:space="preserve">Register and sign in with Mobile OTP</t>
  </si>
  <si>
    <t xml:space="preserve">As a new or returning user, I want to register or sign in with my mobile number and a one-time password, so that I can securely access the app without managing a password.
This story covers the mobile OTP path of registration and login only (Google/Apple OAuth is AUTH-002). It establishes the Identity domain's foundational data model (users, roles, permissions, devices) and the OTP mechanism reused later by arrival-verification and claim-listing flows. A new phone number creates a User and assigns the customer role by default; no Customer Profile row is created here -- that is explicitly deferred to the Customer domain (CUS-001), since registration only produces an authenticated Account, not a profile.
Scope boundary: does not include Google/Apple sign-in, session/refresh-token management (AUTH-003), or role-based authorization enforcement (AUTH-004).</t>
  </si>
  <si>
    <t xml:space="preserve">1. users, roles, permissions, role_permissions, user_roles, devices, and otp_verifications tables exist via Alembic migration, with partial unique constraints on email, phone number, and external_auth_subject.
2. customer, provider, and admin roles are seeded and idempotent to re-run.
3. POST request-otp accepts a phone number and country code, generates a 6-digit code, stores only its hash, and sets a 5-minute expiry.
4. OTP delivery is stubbed behind an SmsSender interface; no real provider is called in this story.
5. POST verify-otp rejects an incorrect code without revealing whether the phone number is registered, and increments an attempt counter capped at 5 attempts before lockout.
6. A verified OTP for an unrecognized phone number creates a new User with auth_provider=mobile_otp and assigns the customer role via user_roles.
7. A verified OTP for an existing phone number authenticates that User without creating a duplicate.
8. A used OTP code cannot be verified a second time (verified_at is set and checked).
9. Mobile screens implement splash, language selection, phone entry, and OTP entry with a visible resend countdown matching the 5-minute expiry.
10. Error states use plain-language copy (e.g., "That code didn't work -- check the digits and try again") with no internal error codes or stack traces shown.
11. Automated tests cover: new-number registration, existing-number login, expired code rejection, attempt-cap lockout, and reused-code rejection.
12. No customer_profiles or customer_preferences row is created as a result of this story.</t>
  </si>
  <si>
    <t xml:space="preserve">Critical</t>
  </si>
  <si>
    <t xml:space="preserve">⏳ Planned</t>
  </si>
  <si>
    <t xml:space="preserve">AUTH-002</t>
  </si>
  <si>
    <t xml:space="preserve">Register and sign in with Google or Apple</t>
  </si>
  <si>
    <t xml:space="preserve">As a new or returning user, I want to continue with Google or Apple, so that I can access the app using an identity I already trust, without creating a new credential.
This story adds the OAuth path alongside AUTH-001's mobile OTP path -- both lead to the same underlying User record shape. Server-side ID-token verification is mandatory; the client's assertion of identity is never trusted directly. Accounts are matched on the (auth_provider, external_auth_subject) pair, not on email, because social email addresses can be unverified or change.
Scope boundary: does not include account linking/merging across providers -- a different provider with the same email produces a second, separate Account by design in this story, and any future account-linking capability is out of scope here.</t>
  </si>
  <si>
    <t xml:space="preserve">1. Sign-in screen offers Google and Apple buttons alongside the mobile-number option from AUTH-001.
2. Backend verifies the Google ID token against Google's public keys and the Apple identity token against Apple's public keys -- no token is trusted without verification.
3. A new (auth_provider, external_auth_subject) pair creates a new User and assigns the customer role.
4. An existing (auth_provider, external_auth_subject) pair authenticates the existing User.
5. A different provider presenting the same email as an existing account creates a second, independent Account -- it does not merge or link to the first.
6. Invalid, expired, or tampered ID tokens are rejected with a generic authentication-failure message, not a detailed validation error.
7. User cancellation mid-flow (e.g., closing the Google/Apple consent screen) returns the user to the sign-in screen without a crash or a stuck loading state.
8. Automated tests use signed test tokens or mocked provider key endpoints -- no test calls the real Google or Apple endpoints.
9. Integration test explicitly verifies the different-provider-same-email case results in two distinct User rows.</t>
  </si>
  <si>
    <t xml:space="preserve">AUTH-003</t>
  </si>
  <si>
    <t xml:space="preserve">Stay signed in and manage active sessions</t>
  </si>
  <si>
    <t xml:space="preserve">As an authenticated user, I want to remain signed in securely across app restarts and see/manage my active sessions, so that I stay logged in conveniently while retaining control if a device is lost or compromised.
This story implements JWT access-token issuance, refresh-token rotation, and per-device session tracking, building on the User records created in AUTH-001/AUTH-002. Access tokens are short-lived and carry no PII; refresh tokens are opaque and stored only as a hash. A device is recorded per login so a user can distinguish and revoke sessions individually.
Scope boundary: does not include role-based authorization (AUTH-004) -- this story only establishes that a session exists and can be trusted, not what it's allowed to do.</t>
  </si>
  <si>
    <t xml:space="preserve">1. sessions, refresh_tokens, and devices tables exist via migration, linked to users.
2. Successful login (via either AUTH-001 or AUTH-002) issues a 15-minute JWT access token containing only sub, exp, iat, jti, and roles -- no email or phone number in the payload.
3. A refresh token is an opaque random string; only its hash is persisted, never the raw value.
4. Calling the refresh endpoint with a valid, unexpired refresh token issues a new access/refresh pair and invalidates the previous refresh token (rotation).
5. Calling the refresh endpoint with an already-used (rotated-away) or revoked refresh token is rejected.
6. A device row is created or updated on login capturing platform (iOS/Android) and a device name.
7. GET sessions lists the caller's active sessions with device name, platform, and last-seen time, flagging the current session.
8. DELETE on a single session revokes that session's refresh tokens; a subsequent refresh attempt with that session's token fails.
9. A "log out everywhere" action revokes every session except optionally the current one, and is a distinct, separately-labeled action from single-session revocation.
10. A user cannot list or revoke another user's sessions (ownership enforced, tested explicitly).
11. Automated tests cover rotation, revocation-then-refresh-fails, and the ownership boundary.</t>
  </si>
  <si>
    <t xml:space="preserve">AUTH-001, AUTH-002</t>
  </si>
  <si>
    <t xml:space="preserve">AUTH-004</t>
  </si>
  <si>
    <t xml:space="preserve">Access the app according to my role</t>
  </si>
  <si>
    <t xml:space="preserve">As a customer, provider, or administrator, I want the app and API to enforce what I'm allowed to do based on my role, so that my account and the platform's other users are protected from unauthorized actions.
This story adds the reusable authorization layer every later feature story depends on: a role-check dependency, correct 401-vs-403 semantics, and an audit trail for security-sensitive identity events. It also adds rate limiting to the authentication endpoints built in AUTH-001-003, since an unprotected auth surface is the highest-value target for abuse. This is the last story in the Secure Account Access sprint and is a hard dependency for every subsequent feature sprint's protected endpoints.
Scope boundary: this story proves the mechanism end-to-end against one representative endpoint (GET /auth/me); it does not retroactively add authorization checks to endpoints that don't exist yet -- those checks are each later story's own responsibility to add.</t>
  </si>
  <si>
    <t xml:space="preserve">1. A require_role() dependency exists and can be applied to any endpoint, checking the roles claim from the validated JWT.
2. A request with no token, an invalid token, or an expired token receives 401 Unauthorized.
3. A request with a valid token but a disallowed role receives 403 Forbidden -- 401 and 403 are never used interchangeably.
4. An ownership-check helper exists returning 404 (not 403) when revealing a resource's existence would itself be a leak.
5. GET /auth/me returns the caller's own id, roles, and account status, and is protected by require_role().
6. Auth endpoints (OTP request/verify, OAuth login, refresh) are rate-limited via Redis at 10 requests/minute per the security standard, keyed appropriately (phone number, IP, or user id).
7. Rate-limit rejections return a generic "too many attempts, try again later" message that never confirms or denies whether an account exists.
8. audit_logs table exists (immutable -- no soft-delete or version columns) and receives a record for registration, login, logout, and session revocation events, with no secrets or tokens in before/after_state.
9. Automated tests cover: 401 vs 403 distinction, rate-limit triggering and reset, and an audit-log row being created for each of the four tracked event types.</t>
  </si>
  <si>
    <t xml:space="preserve">CUS-001</t>
  </si>
  <si>
    <t xml:space="preserve">Set up my customer profile and preferences</t>
  </si>
  <si>
    <t xml:space="preserve">As a newly registered user, I want a customer profile created automatically with sensible defaults, and the ability to update my display name, avatar, language, and notification channel, so that the app is personalized to me without extra signup steps.
This story wires the Customer domain's auto-provisioning trigger into the registration flows completed in AUTH-001/AUTH-002 -- every new Account now also gets a customer_profiles and customer_preferences row in the same transaction. It is deliberately the first story of the Customer Profile &amp; Locations sprint because every later Customer-facing feature (saved addresses, search, activity) assumes a Customer Profile already exists.
Scope boundary: does not include saved addresses (CUS-002) or the Provider-side profile equivalent (PRO-001/002).</t>
  </si>
  <si>
    <t xml:space="preserve">1. customer_profiles and customer_preferences tables exist via migration, one-to-one with users.
2. Completing registration via AUTH-001 or AUTH-002 creates a customer_profiles row and a customer_preferences row in the same database transaction as the User creation -- never as a separate, possibly-failing follow-up call.
3. Default notification channel is WhatsApp; default language is derived from device locale, falling back to English.
4. GET/PATCH endpoints allow reading and updating display name, avatar, language, and notification channel/category preferences.
5. Profile &amp; Settings screen displays and allows editing these fields, plus a visible language toggle.
6. Changing language updates customer_preferences.language and is reflected immediately in the UI without requiring app restart.
7. A user cannot read or update another user's customer profile (ownership enforced).
8. Automated tests confirm profile auto-creation happens atomically with registration.
9. RTL layout verified for the Profile &amp; Settings screen in Arabic.</t>
  </si>
  <si>
    <t xml:space="preserve">CUS-002</t>
  </si>
  <si>
    <t xml:space="preserve">Manage my service locations</t>
  </si>
  <si>
    <t xml:space="preserve">As a customer, I want to save, edit, and remove addresses, and optionally add one during onboarding, so that I don't have to re-enter my location every time I search for a service.
This story implements Saved Addresses, the location data every future Search Request depends on. Adding a first address is explicitly skippable at registration per the product's friction-reduction principle -- the app must re-prompt only when an address is actually needed (submitting a search), not before.
Scope boundary: does not include the geospatial proximity-matching infrastructure itself (a later Provider/Matching-domain story) -- this story only captures and manages address data.</t>
  </si>
  <si>
    <t xml:space="preserve">1. saved_addresses table exists via migration, linked to customer_profiles, with a label, address line, city, region, country code, latitude/longitude, and a default flag.
2. Exactly one address per customer can be marked default at a time (setting a new default un-sets the previous one).
3. Add-address screen supports both map-pin selection and manual entry, plus a "use current location" option.
4. The first-address prompt at registration is skippable; skipping does not block registration completion or any other onboarding step.
5. If skipped, the app does not re-prompt for an address until the customer actually attempts to submit a search request.
6. Saved Addresses management screen lists all addresses with the default clearly indicated, and supports edit and delete.
7. Deleting the currently-default address either prompts the customer to choose a new default or clearly indicates no default is set.
8. A customer cannot view or modify another customer's addresses (ownership enforced).
9. Automated tests cover: default-address uniqueness, skip-then-required-later flow, and the ownership boundary.</t>
  </si>
  <si>
    <t xml:space="preserve">PRO-001</t>
  </si>
  <si>
    <t xml:space="preserve">Create my business or freelancer listing</t>
  </si>
  <si>
    <t xml:space="preserve">As a user who wants to offer a service, I want to choose whether I'm a Business or a Freelancer and enter my core details, so that I can list my business or service on the platform for free.
This story adds the Provider domain's core aggregate and the first half of the onboarding flow: type selection (immutable afterward -- a Provider is exactly one subtype, never both) and subtype-specific details (fixed location/hours for a Business, base location/travel radius for a Freelancer). Critically, this reuses the caller's existing Account from AUTH-001/002 rather than creating a new one -- a Customer choosing to also list a business does not register again, consistent with the platform's dual-role model.
Scope boundary: does not include portfolio/availability management (PRO-002) or the Verification gate (VER-001) -- a newly created Provider is not yet discoverable to customers.</t>
  </si>
  <si>
    <t xml:space="preserve">1. providers, business_profiles, and freelancer_profiles tables exist via migration; providers.user_id is nullable (to support Google-seeded unclaimed listings in a later story) but non-null for self-registered providers created here.
2. A user with an existing Account can start "List Your Business" and the resulting Provider is linked to that same Account -- no new registration/OTP/OAuth step is triggered.
3. Provider type (Business or Freelancer) is selected via a dedicated screen and cannot be changed after this step completes.
4. Basic info (display name, phone, WhatsApp, category, description) is captured before type-specific details.
5. Business path captures address/map location, weekly operating hours, optional delivery radius, and optional trade license number.
6. Freelancer path captures base location, service radius, skill tags, and years of experience.
7. A newly created Provider defaults to verification_status=pending and is_discoverable=false -- it must not appear in any customer-facing search or directory result.
8. A user cannot create a second Provider on the same Account (one Provider per Account, enforced at the service layer, tested explicitly).
9. Step indicator is visible across the multi-step form; each step is independently completable in under 30 seconds per the UX guideline.
10. Automated tests cover: type immutability, one-provider-per-account enforcement, and correct defaulting of verification/discoverability flags.</t>
  </si>
  <si>
    <t xml:space="preserve">AUTH-004, CUS-002</t>
  </si>
  <si>
    <t xml:space="preserve">PRO-002</t>
  </si>
  <si>
    <t xml:space="preserve">Manage my provider storefront</t>
  </si>
  <si>
    <t xml:space="preserve">As a provider, I want to upload portfolio photos, set my weekly availability, and edit my listing after onboarding, so that my storefront stays current and represents my work well.
This story completes the provider aggregate (portfolios, provider_availability, provider_categories, service_areas) and delivers the ongoing Storefront screen, distinct from the one-time onboarding flow in PRO-001. It frames the provider profile as the provider's free digital storefront, per the product's positioning.
Scope boundary: does not include visibility analytics (LEAD-002) or leads (LEAD-001) -- this story is limited to editing the storefront's own content.</t>
  </si>
  <si>
    <t xml:space="preserve">1. portfolios, provider_availability, provider_categories, and service_areas tables exist via migration.
2. Provider can add, remove, and reorder portfolio photos; each upload is validated for MIME type, extension, and size, and stored under a generated (never user-supplied) filename.
3. Provider can set open/closed status and hours per weekday, plus a separate emergency/urgent-availability flag.
4. Provider can belong to one or more categories via provider_categories, with exactly one marked primary.
5. Storefront screen shows editable sections for basic info, subtype-specific details, portfolio, and availability, each independently saveable.
6. Edits to basic info, hours, or portfolio do not require re-submitting verification unless the change affects a verified field -- that boundary is explicitly documented in this story's implementation notes.
7. A provider cannot edit another provider's storefront (ownership enforced).
8. Automated tests cover portfolio reordering persistence, availability CRUD, and the ownership boundary.</t>
  </si>
  <si>
    <t xml:space="preserve">VER-001</t>
  </si>
  <si>
    <t xml:space="preserve">Submit my provider verification</t>
  </si>
  <si>
    <t xml:space="preserve">As a provider, I want to upload the right identity or license document and see what the system read from it before submitting, so that I can go live on the platform with confidence my submission is correct.
This story implements the Verification domain's document-upload half: verification_records/verification_documents, an OCR-assisted confirmation step, and the mandatory-for-Freelancer / configurable-for-Business trust gate. The OCR integration itself is stubbed pending confirmation of the existing Ejari/Emirates ID pipeline's interface -- this story does not build a new OCR engine from scratch.
Scope boundary: does not include the admin review/approval side (VER-002) -- this story only gets a submission into the pending queue correctly.</t>
  </si>
  <si>
    <t xml:space="preserve">1. verification_records and verification_documents tables exist via migration, with a status enum (pending, under_review, approved, rejected).
2. Freelancer providers must submit an Emirates-ID-equivalent document; Business providers submit per the configured (lighter) verification bar.
3. Upload validates MIME type, extension, and file size before accepting; rejected uploads show a specific, actionable error.
4. After upload, a confirmation screen shows OCR-extracted fields (name, ID number, expiry date where applicable) as editable, with copy explicitly framing them as "what we read -- please confirm," not as already-verified fact.
5. Submitting creates a verification_records row with status=pending; the provider's discoverability is unaffected until VER-002 processes it.
6. A provider can view their own current verification status but cannot self-approve.
7. Resubmission after a rejection creates a new verification cycle rather than mutating the rejected record, preserving history.
8. Automated tests cover: upload validation rejections, the OCR-confirmation-is-editable requirement, and that submission alone never changes is_discoverable.</t>
  </si>
  <si>
    <t xml:space="preserve">VER-002</t>
  </si>
  <si>
    <t xml:space="preserve">Review provider verification as an administrator</t>
  </si>
  <si>
    <t xml:space="preserve">As an administrator, I want to review a provider's submitted documents and approve or reject with a reason, so that only genuinely verified providers become discoverable -- a safety requirement, not just a quality one, since Freelancers enter customers' homes.
This story completes the Verification domain's trust-gate enforcement: approving or rejecting must atomically update the provider's cached discoverability flag in the same transaction as the status change, and the provider must be notified either way.
Scope boundary: does not include the broader admin operations dashboard (ADM-002) -- this story is limited to the verification-review action itself and its direct consequences.</t>
  </si>
  <si>
    <t xml:space="preserve">1. Admin-only endpoint lists pending/under_review verification_records with linked documents.
2. Approving a record sets status=approved, records reviewed_by and reviewed_at, and in the same transaction sets providers.verification_status=approved and, for Freelancers, is_discoverable=true.
3. Rejecting a record requires a rejection_reason, sets status=rejected, and does not set is_discoverable=true under any circumstance.
4. A Freelancer's is_discoverable can never be true while the latest verification_records status is anything other than approved -- this invariant is asserted directly in an automated test.
5. The provider receives a notification on status change, worded in plain language, never exposing internal status enum values.
6. Every approval/rejection action is written to admin_action_log.
7. A non-admin cannot access the review endpoint (403).
8. Automated tests cover the atomic status+discoverability update and the notification trigger.</t>
  </si>
  <si>
    <t xml:space="preserve">DIR-001</t>
  </si>
  <si>
    <t xml:space="preserve">Browse nearby providers by category and location</t>
  </si>
  <si>
    <t xml:space="preserve">As a customer, I want to filter providers by category and distance without needing the AI conversation, so that basic discovery works end to end -- proving the platform's core value with zero dependency on verification-review turnaround or AI infrastructure being finished.
This story delivers the first customer-facing search surface: a structured (non-conversational) directory backed by the geospatial proximity infrastructure (PostgreSQL earthdistance/cube) and the discoverability gate from VER-002. It is intentionally simpler than the eventual AI-powered results (MAT-001) and exists specifically to ship discovery early.
Scope boundary: does not include the AI conversation (AI-001) or ranked AI-matched results (MAT-001) -- filtering here is a straightforward category + radius query.</t>
  </si>
  <si>
    <t xml:space="preserve">1. earthdistance and cube PostgreSQL extensions are enabled via migration; GiST indexes exist on saved_addresses and service_areas location columns.
2. Search filters apply in order: category, then geospatial radius (using earth_box before earth_distance), then discoverability -- a provider with is_discoverable=false never appears in results regardless of category/distance fit.
3. Results show provider photo, name, category, rating with review count (never rating alone), and distance.
4. Empty results show a specific empty-state message distinct from a "no search performed yet" state.
5. Search Results screen is implemented in its structured (pre-AI) form, ready to be upgraded to AI-ranked results in MAT-001 without a screen redesign.
6. Query performance is verified to use the GiST index (via query plan check) rather than a sequential scan at representative data volumes.
7. Automated tests cover filter precedence (category to geo to discoverability) and deterministic tie-breaking when multiple providers are equally ranked.</t>
  </si>
  <si>
    <t xml:space="preserve">CUS-002, PRO-002, VER-002</t>
  </si>
  <si>
    <t xml:space="preserve">CLM-001</t>
  </si>
  <si>
    <t xml:space="preserve">Claim my Google-seeded business listing</t>
  </si>
  <si>
    <t xml:space="preserve">As a business owner, I want to find my business among Google-seeded listings and verify I own the public phone number on record, so that I gain edit access to my own storefront instead of a stranger being able to claim it.
This story bootstraps Business supply from public Google listings (so the directory isn't empty at launch) and implements the claim flow's OTP-against-public-record safeguard. Until claimed, these listings are flagged internally as unclaimed per the pending Google Places legal/ToS review, and must never be treated as equivalent to a verified, self-registered provider.
Scope boundary: does not change how self-registered providers (PRO-001) are created -- this story only handles the separate unclaimed-listing import and claim path.</t>
  </si>
  <si>
    <t xml:space="preserve">1. Import job creates providers rows with listing_source=google_seeded_unclaimed, is_claimed=false, and a populated google_place_id -- never marked as self_registered.
2. Unclaimed listings are visually distinct in search/directory results (a clearly visible "Unclaimed" label, not a small badge easy to miss).
3. Claim search screen lets a user find their business by name/location among unclaimed listings.
4. An OTP is sent to the public phone number on record for that listing -- never to a number the claimant types in themselves.
5. Successful OTP verification sets is_claimed=true, populates user_id with the claimant's Account, and routes the listing through the same Verification gate a self-registered Business would go through.
6. If OTP verification fails or the public number is unusable, the flow falls back to an explicit "this isn't working" admin-review path.
7. Once claimed, subsequent Google Places sync jobs never overwrite owner-edited fields -- imported data only backfills genuinely empty fields.
8. Automated tests cover: OTP-goes-only-to-public-number, and the admin-fallback path triggering correctly on OTP failure.</t>
  </si>
  <si>
    <t xml:space="preserve">VER-002, DIR-001</t>
  </si>
  <si>
    <t xml:space="preserve">AI-001</t>
  </si>
  <si>
    <t xml:space="preserve">Describe my service need in a guided AI conversation</t>
  </si>
  <si>
    <t xml:space="preserve">As a customer, I want to describe my problem in plain language and answer relevant follow-up questions, so that the app understands what I need without me having to guess the right category upfront.
This is the product's core differentiator: an LLM-API-driven, RAG-grounded conversational intake. The AI must never assert availability, prices, ratings, or capabilities not grounded in real platform data -- every claim traces back to a retrieved record, and every follow-up question comes only from the approved category_question_templates, never an invented question. Perceived latency is handled explicitly with staged feedback (typing indicator to contextual label to graceful timeout) so the AI never reads as an unresponsive app.
Scope boundary: routing low-confidence sessions to manual matching (the Wizard-of-Oz fallback) is AI-002 -- this story covers the conversation itself and its structured output.</t>
  </si>
  <si>
    <t xml:space="preserve">1. conversation_sessions, messages, and confidence_scores tables exist via migration; messages are ordered by sequence_number.
2. The LLM provider sits behind a service interface (not called directly from routes or the AI conversation screen) so the provider can be swapped without touching Domain/API code.
3. System prompts are stored as version-controlled files, not inline strings.
4. Follow-up questions are sourced only from category_question_templates for the resolved category -- the AI never asks an invented question outside the approved taxonomy.
5. A retrieved provider record with a null field (e.g., no price range) is reported to the customer as unknown, never estimated or guessed.
6. The AI Conversation screen shows a typing indicator within 500ms, switches to a contextual label past 3 seconds, and never shows a raw confidence score to the user.
7. A response taking longer than 8 seconds (or timing out) transitions to "we'll notify you" messaging rather than an indefinite spinner.
8. The customer can go back and revise a previous answer without restarting the entire conversation.
9. Every completed session produces a search_requests-ready structured_criteria payload, validated via a Pydantic model before persistence.
10. Automated tests assert no fabricated provider attribute is ever surfaced in a conversation response.
11. RTL layout and Arabic prompt/response quality verified for the chat screen.</t>
  </si>
  <si>
    <t xml:space="preserve">AI-002</t>
  </si>
  <si>
    <t xml:space="preserve">Receive matches even when AI confidence is low</t>
  </si>
  <si>
    <t xml:space="preserve">As a customer, I want my request handled well even if the AI isn't fully confident in its understanding, so that I still get a next step instead of a dead end.
This story implements the Wizard-of-Oz manual-match fallback: sessions below a confidence threshold are routed to an admin queue rather than blocking the customer or silently degrading to a low-quality automated match. Critically, the customer's downstream experience must look identical whether their result came from the automated matcher or a human -- the manual origin is never surfaced to them.
Scope boundary: does not include the admin-side queue UI itself (ADM-001) -- this story implements the routing/data model side and the customer-facing continuity guarantee.</t>
  </si>
  <si>
    <t xml:space="preserve">1. Every completed AI-001 session writes a confidence score tagged with the model/prompt version that produced it.
2. Sessions below the configured confidence threshold create a manual_match_assignments record and notify an admin -- the session is never left in limbo with no next step.
3. The customer sees a message consistent with normal processing -- never the words "manual," "fallback," or "admin" in customer-facing copy.
4. Once an admin resolves the manual assignment, the customer receives the same ranked-results screen as an automated match would produce.
5. The system never retries the LLM call in a loop hoping for a higher score -- a low score is treated as a legitimate signal, not a failure to mask.
6. search_event_log records the session's outcome (matched or not) regardless of whether resolution was automated or manual.
7. Automated tests assert: below-threshold sessions always produce a manual_match_assignments row, and the customer-facing response contains no internal routing terminology.</t>
  </si>
  <si>
    <t xml:space="preserve">MAT-001</t>
  </si>
  <si>
    <t xml:space="preserve">See ranked providers for my request</t>
  </si>
  <si>
    <t xml:space="preserve">As a customer, I want the providers matched to my described need ranked by relevance and quality, so that the best-fit options show up first.
This story upgrades DIR-001's structured search into the AI-powered ranking pipeline, consuming AI-001's structured Search Request output and combining it with the same category to geospatial to discoverability filter chain, then ranking by proximity plus rating and review volume -- never distance alone.
Scope boundary: does not include the actual contact/reveal step (CON-001) -- this story ends at a ranked results list.</t>
  </si>
  <si>
    <t xml:space="preserve">1. search_requests and provider_matches tables exist via migration; provider_matches stores rank and match_score per provider per request.
2. Filter order is identical to DIR-001's (category, then geospatial radius, then discoverability) -- this story does not introduce a second, divergent filter implementation.
3. Ranking combines proximity with provider_rating_summaries (average rating and review count) and is never based on distance alone.
4. Ranking ties break deterministically (e.g., by provider_id) so identical searches return stable, reproducible ordering.
5. Search Results screen consumes AI-001's conversation output directly -- Home's search entry point starts a Conversation Session, which flows into this screen without a manual re-search step.
6. Every search, matched or not, is written to search_event_log with an accurate was_matched flag.
7. A provider with is_discoverable=false never appears in ranked results, mirroring DIR-001's rule.
8. Automated tests cover ranking correctness against known rating/distance combinations and deterministic tie-breaking.</t>
  </si>
  <si>
    <t xml:space="preserve">CON-001</t>
  </si>
  <si>
    <t xml:space="preserve">Contact a matched provider directly</t>
  </si>
  <si>
    <t xml:space="preserve">As a customer, I want to see a matched provider's phone number immediately when I tap Contact, with no quote or approval step in between, so that reaching out feels as simple as getting a number from a friend.
This story implements the platform's growth-first, direct-contact model and its most safety-critical rule: the self-dealing guard. Because one Account may hold both Customer and Provider roles, a Contact View must be rejected outright if the requesting Customer's Account is the same Account that owns the target Provider -- otherwise a provider could inflate their own lead/contact/review numbers by contacting themselves.
Scope boundary: does not include the Outcome Tag prompt or reviews (REV-001/002) -- this story ends at the phone number being shown.</t>
  </si>
  <si>
    <t xml:space="preserve">1. contact_views table exists via migration, referencing the customer, the provider, and optionally the originating search request.
2. Tapping Contact on a matched provider immediately shows the phone number and Call/WhatsApp buttons in a bottom sheet -- no quote request, approval wait, or in-app messaging step exists anywhere in this flow.
3. A Contact View is rejected if the requesting Customer Account is the same Account that owns the target Provider -- this is enforced at the point of Contact View creation, not just documented as a rule.
4. The rejection in the self-dealing case is tested explicitly with an automated test asserting the Contact View row is never created.
5. Provider Profile screen shows rating together with review count (never rating alone), a Verified badge (or Unclaimed label) as applicable, and hours/service-area information.
6. The Contact Reveal sheet includes a brief note that contact happens outside the app.
7. Every Contact View creation is a candidate trigger for provider-lead notifications (wired fully in ENG-001, but the event itself must be emitted here).
8. Automated tests cover the happy path (successful contact reveal) and the self-dealing rejection as separate, explicit test cases.</t>
  </si>
  <si>
    <t xml:space="preserve">REV-001</t>
  </si>
  <si>
    <t xml:space="preserve">Tell the platform whether I hired a provider</t>
  </si>
  <si>
    <t xml:space="preserve">As a customer who contacted a provider, I want to quickly confirm whether I hired them, so that the platform has a real signal of what actually happened without tracking payment details it has no visibility into.
The Outcome Tag is the platform's only conversion signal given the offline-payment reality of the direct-contact model. It is deliberately minimal -- a yes/no tied to a specific Contact View -- and only the Customer who generated that Contact View may submit it.
Scope boundary: does not include the review itself (REV-002), which requires a 'Yes' outcome tag as its anchor.</t>
  </si>
  <si>
    <t xml:space="preserve">1. outcome_tags table exists via migration, with a unique constraint on contact_view_id (one outcome tag per Contact View).
2. Only the Customer who owns the underlying Contact View can submit an outcome tag for it -- attempting to submit for someone else's Contact View is rejected.
3. The prompt ("Did you hire them?") is triggered after a Contact View, via a notification, and is dismissible ("Maybe later") without penalty.
4. The outcome tag does not attempt to capture payment amount, job completion detail, or scheduling.
5. A "No" or absent outcome tag is still retained as a signal (not discarded) -- it is not required to be "Yes" for the tag itself to exist, only for a Review to follow.
6. Automated tests cover the ownership restriction and the uniqueness-per-Contact-View constraint.</t>
  </si>
  <si>
    <t xml:space="preserve">REV-002</t>
  </si>
  <si>
    <t xml:space="preserve">Leave a verified review after a successful hire</t>
  </si>
  <si>
    <t xml:space="preserve">As a customer who confirmed a hire, I want to rate and review the provider, so that future customers can trust the provider's track record -- and so that reviews can never be submitted by someone who didn't actually go through a real Contact View and a positive outcome.
This is the anchor-verified review model: a Review can only exist against a Contact View carrying a 'Yes' outcome tag from REV-001. Because CON-001's self-dealing guard already blocks a provider from generating a Contact View against their own listing, this story's anchor requirement transitively blocks self-reviews too, without needing a second explicit check.
Scope boundary: does not include provider-side display of reviews beyond the rating summary recalculation.</t>
  </si>
  <si>
    <t xml:space="preserve">1. reviews and provider_rating_summaries tables exist via migration; reviews.contact_view_id is unique, enforcing one review per Contact View.
2. Submitting a review is only possible when the anchoring Contact View has an outcome_tags.hired=true row -- attempting otherwise (no outcome tag, or hired=false) is rejected.
3. Rating is constrained to 1-5; a comment field is optional free text.
4. provider_rating_summaries (average rating, review count) is recalculated in the same transaction as the review write -- never left stale.
5. Because the anchoring Contact View was already rejected for self-dealing in CON-001, an automated test confirms a provider cannot end up with a review pointing back at their own listing via this path.
6. Write-a-Review screen is only reachable after a "Yes" outcome tag -- there is no direct navigation path to it otherwise.
7. Automated tests cover the anchor-verification rejection case and the rating-summary recalculation correctness.</t>
  </si>
  <si>
    <t xml:space="preserve">LEAD-001</t>
  </si>
  <si>
    <t xml:space="preserve">See and manage my provider leads</t>
  </si>
  <si>
    <t xml:space="preserve">As a provider, I want to see who viewed my contact info and whether they went on to hire me, so that I can gauge real interest in my listing without needing customer-provider messaging, which doesn't exist in this product.
This story surfaces CON-001's Contact Views and REV-001's outcome tags as a provider-facing Leads list, without exposing more customer PII than necessary.
Scope boundary: does not include visibility analytics/trend charts (LEAD-002) -- this story is the raw lead list only.</t>
  </si>
  <si>
    <t xml:space="preserve">1. Leads screen lists Contact Views for the authenticated provider, each showing a category/request context, a relative timestamp, and an outcome status chip (Hired / Not hired / not yet reported) where available.
2. Leads are ordered most-recent-first and support the app's standard pull-to-refresh and empty-state patterns.
3. No more customer PII is shown than necessary for the provider to recognize the lead.
4. A provider can only see their own leads (ownership enforced, tested explicitly).
5. Automated tests cover the ownership boundary and correct outcome-status display across all three states.</t>
  </si>
  <si>
    <t xml:space="preserve">LEAD-002</t>
  </si>
  <si>
    <t xml:space="preserve">Understand my listing visibility</t>
  </si>
  <si>
    <t xml:space="preserve">As a provider, I want simple stats on how often I appear in search and how many people viewed my contact info, so that I can tell whether my listing is actually working, without the platform building brand-new tracking infrastructure just for this.
This story reuses the Search Event Log and Contact Views that already exist for other purposes, presenting them as a lightweight analytics view -- consistent with the product's "reuse, don't rebuild" principle.
Scope boundary: does not include admin-facing platform-wide analytics (ADM-002) -- this is the single-provider visibility view only.</t>
  </si>
  <si>
    <t xml:space="preserve">1. Visibility Analytics screen shows two headline stats -- search appearances and contact views -- each with a short trend indicator.
2. A 30-day trend chart is shown, sourced from search_event_log and contact_views, not a new tracking table.
3. Data shown is scoped strictly to the authenticated provider's own listing (ownership enforced).
4. The screen degrades gracefully (a clear "not enough data yet" state) for a newly-onboarded provider with little or no history.
5. Automated tests cover the ownership boundary and correct aggregation of the two headline stats over the 30-day window.</t>
  </si>
  <si>
    <t xml:space="preserve">ADM-001</t>
  </si>
  <si>
    <t xml:space="preserve">Resolve manual-match and unmatched-query work as an administrator</t>
  </si>
  <si>
    <t xml:space="preserve">As an administrator, I want a queue of low-confidence sessions needing manual matching and a report of searches that produced no good match, so that I can keep the Wizard-of-Oz fallback working and spot supply/category gaps early.
This story gives admins the operational surface for two things already producing data in earlier stories: AI-002's manual_match_assignments and MAT-001's search_event_log unmatched entries. The admin platform itself (Flutter vs. a separate internal tool) remains an explicitly open decision -- this story implements the API layer, which is platform-agnostic, without assuming the answer.
Scope boundary: does not include verification review (VER-002, already delivered) or the broader admin dashboard shell (ADM-002).</t>
  </si>
  <si>
    <t xml:space="preserve">1. unmatched_query_reports table exists via migration, sourced from search_event_log rows where was_matched=false, supporting admin annotation and a status (open/reviewed/actioned).
2. Admin-only endpoint lists pending manual_match_assignments with the underlying conversation transcript available for context.
3. Admin can select and rank candidate providers for a manual assignment, writing to provider_matches exactly as the automated matcher would.
4. Completing a manual assignment updates its status and is reflected in the customer's ranked-results screen without further admin action.
5. Unmatched query reports can be filtered/sorted and marked reviewed/actioned by an admin.
6. Non-admin access to either endpoint returns 403.
7. Automated tests cover: manual assignment completion producing a customer-visible result, and unmatched-report status transitions.</t>
  </si>
  <si>
    <t xml:space="preserve">ADM-002</t>
  </si>
  <si>
    <t xml:space="preserve">Operate the marketplace from an admin dashboard</t>
  </si>
  <si>
    <t xml:space="preserve">As an administrator, I want a single dashboard summarizing verification queues, manual-match workload, and platform configuration, so that I can operate the marketplace day-to-day without stitching together separate tools.
This story consolidates ADM-001 and VER-002's queues alongside feature-flag and system-configuration management into one operational surface -- the capstone of the Marketplace Operations sprint.
Scope boundary: does not add new admin capabilities beyond what ADM-001/VER-002 already implemented.</t>
  </si>
  <si>
    <t xml:space="preserve">1. feature_flags and system_settings tables exist via migration (if not already present) and are editable only by admins.
2. Dashboard summarizes: pending verification count, pending manual-match count, and open unmatched-query-report count, each linking to its respective queue.
3. admin_action_log records every configuration change, feature-flag toggle, and queue action taken from this dashboard.
4. Feature flags can be toggled without a deploy and take effect for the next relevant request.
5. Non-admin access returns 403 across every dashboard endpoint.
6. Automated tests cover feature-flag toggling taking effect and admin_action_log recording every action type exercised by this story.</t>
  </si>
  <si>
    <t xml:space="preserve">VER-002, ADM-001</t>
  </si>
  <si>
    <t xml:space="preserve">ENG-001</t>
  </si>
  <si>
    <t xml:space="preserve">Receive marketplace notifications in my preferred channel</t>
  </si>
  <si>
    <t xml:space="preserve">As a user, I want to be notified about new leads, verification status changes, and outcome-tag prompts through my preferred channel, so that I don't have to keep checking the app manually.
This story implements the Notification domain end to end: data model, WhatsApp/SMS/Email delivery adapters behind a single interface, and the trigger wiring for every notification-worthy event already emitted by earlier stories.
Scope boundary: does not include the deep-link/Verified-Visit features (ENG-002) -- this story is notification delivery only.</t>
  </si>
  <si>
    <t xml:space="preserve">1. notifications, notification_preferences, and notification_delivery tables exist via migration.
2. A single NotificationSender interface has WhatsApp, SMS, and Email adapters; delivery failures surface as typed errors, never a silent no-op.
3. Triggers are wired for: new Contact View to Provider, verification status change to Provider, manual match assignment created to Admin, outcome-tag prompt to Customer.
4. A disabled channel or muted category in notification_preferences is checked before every send and is a hard stop, not a soft suggestion.
5. Non-urgent events update a badge/inbox entry without forcing a push notification unless the user has opted in; time-sensitive events may push immediately.
6. Notifications Inbox screen groups entries as New/Earlier and deep-links each entry to its relevant context.
7. Duplicate sends are prevented via an idempotency key on retry.
8. Automated tests cover: preference-disabled blocking a send, and idempotent retry not double-sending.</t>
  </si>
  <si>
    <t xml:space="preserve">CON-001, VER-002, REV-001</t>
  </si>
  <si>
    <t xml:space="preserve">ENG-002</t>
  </si>
  <si>
    <t xml:space="preserve">Share a provider profile and verify an arrival</t>
  </si>
  <si>
    <t xml:space="preserve">As a provider, I want a shareable link to my profile and an optional way to confirm I physically showed up for a job, so that I can drive my own traffic to the platform and build extra trust with future customers.
This story delivers two independent, smaller value-layer features: shareable deep links (working even for a user without the app installed, via app-store fallback) and the Verified Visit OTP, which reuses the existing OTP infrastructure from AUTH-001 rather than building a parallel mechanism.
Scope boundary: neither feature blocks or gates the core search-to-contact loop -- both are optional, provider-initiated additions.</t>
  </si>
  <si>
    <t xml:space="preserve">1. visit_verifications table exists via migration, tied to a Contact View, referencing an otp_verifications row (reusing AUTH-001's OTP service, purpose=arrival_verification).
2. A provider can request an arrival-verification OTP tied to a specific Contact View; successful verification sets a Verified Visit badge visible on the provider profile.
3. The Verified Visit badge is tappable/explainable -- a one-line sheet explains what it means.
4. A shareable deep link resolves directly to the correct Provider Profile screen even when opened on a device without the app installed (falls back to an app-store listing).
5. Neither feature is required to complete a Contact View, Outcome Tag, or Review -- both remain fully optional.
6. Automated tests cover deep-link resolution (with-app and without-app-installed cases) and that a Verified Visit badge only appears after a genuine OTP confirmation.</t>
  </si>
  <si>
    <t xml:space="preserve">OPS-001</t>
  </si>
  <si>
    <t xml:space="preserve">Use a fast and resilient marketplace</t>
  </si>
  <si>
    <t xml:space="preserve">As a user, I want the app and API to stay fast and responsive as usage grows, so that searching, matching, and everyday use don't degrade under real load.
This story performs the performance pass across the completed feature set: query/endpoint review, caching for expensive reads, mobile profiling, and load-test benchmarks -- deliberately scheduled after the feature sprints so there's a real system to profile, not a hypothetical one.
Scope boundary: does not include security hardening (OPS-002), scheduled as a separate, focused pass.</t>
  </si>
  <si>
    <t xml:space="preserve">1. Query plans are reviewed for the highest-traffic endpoints (search, matching, notifications) and missing indexes are added.
2. A caching layer is added for expensive, frequently-read data (search results, provider profiles) with sensible invalidation -- Redis remains a cache only, never the source of truth.
3. Key Flutter screens (AI Conversation, Search Results) are profiled for jank and optimized against a defined frame-time budget.
4. Baseline load-test benchmarks are recorded for AI intake, search/matching, and notification delivery under simulated concurrent load.
5. Performance work is verified not to change any business-rule behavior (self-dealing guard, verification gating) -- a full regression pass accompanies this story.
6. Automated benchmark results are documented and become the baseline for detecting future regressions.</t>
  </si>
  <si>
    <t xml:space="preserve">OPS-002</t>
  </si>
  <si>
    <t xml:space="preserve">Use a securely hardened marketplace</t>
  </si>
  <si>
    <t xml:space="preserve">As a platform owner, I want a dedicated security pass across the whole API surface, so that known vulnerability classes are checked and fixed before real users are exposed to them, and rate limiting protects every public endpoint, not just authentication.
This story extends AUTH-004's auth-only rate limiting to the full public API, and performs an OWASP-aligned review culminating in a documented sign-off.
Scope boundary: does not include ongoing security monitoring infrastructure -- that is a post-MVP concern per the product's anti-circumvention sequencing principle.</t>
  </si>
  <si>
    <t xml:space="preserve">1. An OWASP-aligned review is completed across the API (injection, broken access control, and related classes); findings are triaged and either remediated or explicitly accepted with a documented reason.
2. Rate limiting is extended from auth-only to all public endpoint categories via centralized configuration.
3. A written security sign-off document lists what was tested, what was fixed, and what residual risk was explicitly accepted.
4. No finding involving exposed secrets, disabled authentication, or bypassed authorization is left unresolved -- those are release-blocking by definition.
5. Automated security-relevant tests (authorization bypass attempts, injection payloads against key endpoints) are added and pass.</t>
  </si>
  <si>
    <t xml:space="preserve">REL-001</t>
  </si>
  <si>
    <t xml:space="preserve">Validate the marketplace end to end before release</t>
  </si>
  <si>
    <t xml:space="preserve">As a platform owner, I want a full end-to-end pass across every delivered feature sprint, so that the MVP is validated as a complete product, not just as a collection of individually-tested sprints.
This story is the UAT and documentation-readiness gate before release: every Must-Have item in 11_MVP_SCOPE.md is exercised manually and via automated end-to-end tests, and all developer/API documentation is confirmed current against the final implementation.
Scope boundary: does not include the production deployment itself (REL-002) -- this story is validation only, and is a hard prerequisite for it.</t>
  </si>
  <si>
    <t xml:space="preserve">1. Every Must-Have item listed in 11_MVP_SCOPE.md Section 1 is exercised at least once via a manual or automated end-to-end test, with results logged.
2. Cross-sprint flows are tested as full journeys, not just per-story: registration to provider onboarding to verification to discovery to AI intake to matching to contact to outcome to review, end to end.
3. The self-dealing guard, verification gating, and anchor-verified-review rules are re-verified together in one integrated test, not only in their original story's isolated tests.
4. README/API documentation is reviewed and updated to match the final implementation.
5. Bilingual (EN/AR) and RTL behavior is spot-checked across the core journey, not just individual screens.
6. Issues found are logged and triaged before proceeding to REL-002; release-blocking issues are explicitly called out as such.</t>
  </si>
  <si>
    <t xml:space="preserve">REL-002</t>
  </si>
  <si>
    <t xml:space="preserve">Release the AI Marketplace MVP</t>
  </si>
  <si>
    <t xml:space="preserve">As a customer and provider, I want a production-ready AI Marketplace app, so that I can actually discover and offer local services on a live, supported platform.
This is the final story of the roadmap: production deployment, monitoring/rollback readiness, app-store packaging, and operational handover, gated entirely on REL-001's validation passing first.
Scope boundary: no new feature work happens in this story -- it is deployment and hand-off only.</t>
  </si>
  <si>
    <t xml:space="preserve">1. Deployment to production is completed via the finalized CI/CD pipeline, with every Must-Have item from 11_MVP_SCOPE.md confirmed live.
2. Production monitoring and alerting are active before traffic is directed to the new release, with a documented rollback plan.
3. App-store (iOS/Android) release packaging is complete and submitted/approved per each store's requirements.
4. A release-notes document is published summarizing what shipped.
5. On-call/support handover is documented so post-release issues have a clear, immediate response path.
6. This story does not begin until REL-001 has been completed with no open release-blocking issues.</t>
  </si>
  <si>
    <t xml:space="preserve">Release ID</t>
  </si>
  <si>
    <t xml:space="preserve">Version</t>
  </si>
  <si>
    <t xml:space="preserve">Release Name</t>
  </si>
  <si>
    <t xml:space="preserve">Actual Date</t>
  </si>
  <si>
    <t xml:space="preserve">Milestones Included</t>
  </si>
  <si>
    <t xml:space="preserve">Notes</t>
  </si>
  <si>
    <t xml:space="preserve">REL-01</t>
  </si>
  <si>
    <t xml:space="preserve">v1.0</t>
  </si>
  <si>
    <t xml:space="preserve">AI Marketplace MVP Release</t>
  </si>
  <si>
    <t xml:space="preserve">ML1-ML15</t>
  </si>
  <si>
    <t xml:space="preserve">Planned</t>
  </si>
  <si>
    <t xml:space="preserve">First production release covering the approved MVP scope.</t>
  </si>
  <si>
    <t xml:space="preserve">Decision ID</t>
  </si>
  <si>
    <t xml:space="preserve">Summary</t>
  </si>
  <si>
    <t xml:space="preserve">Date</t>
  </si>
  <si>
    <t xml:space="preserve">Reference</t>
  </si>
  <si>
    <t xml:space="preserve">DEC-001</t>
  </si>
  <si>
    <t xml:space="preserve">Product Pivot: MyCommunity to AI Marketplace</t>
  </si>
  <si>
    <t xml:space="preserve">Pivoted from a UAE resident/community social platform (Community, Feed, Events, Moderation) to a location-based directory and AI-mediated conversational-intake marketplace connecting businesses and freelancers with customers. No Community, Feed, Events, or Messaging domain in the current model.</t>
  </si>
  <si>
    <t xml:space="preserve">Approved</t>
  </si>
  <si>
    <t xml:space="preserve">docs/AI/09_DECISIONS.md ADR-011</t>
  </si>
  <si>
    <t xml:space="preserve">Risk ID</t>
  </si>
  <si>
    <t xml:space="preserve">Probability</t>
  </si>
  <si>
    <t xml:space="preserve">Impact</t>
  </si>
  <si>
    <t xml:space="preserve">Mitigation</t>
  </si>
  <si>
    <t xml:space="preserve">Story Status</t>
  </si>
  <si>
    <t xml:space="preserve">Release Status</t>
  </si>
  <si>
    <t xml:space="preserve">Risk Status</t>
  </si>
  <si>
    <t xml:space="preserve">Category</t>
  </si>
  <si>
    <t xml:space="preserve">Currency</t>
  </si>
  <si>
    <t xml:space="preserve">Payment Method</t>
  </si>
  <si>
    <t xml:space="preserve">Low</t>
  </si>
  <si>
    <t xml:space="preserve">Shri</t>
  </si>
  <si>
    <t xml:space="preserve">Open</t>
  </si>
  <si>
    <t xml:space="preserve">Subscriptions &amp; Tools</t>
  </si>
  <si>
    <t xml:space="preserve">AED</t>
  </si>
  <si>
    <t xml:space="preserve">Credit Card</t>
  </si>
  <si>
    <t xml:space="preserve">TBD</t>
  </si>
  <si>
    <t xml:space="preserve">In Progress</t>
  </si>
  <si>
    <t xml:space="preserve">Mitigated</t>
  </si>
  <si>
    <t xml:space="preserve">Hosting &amp; Infrastructure</t>
  </si>
  <si>
    <t xml:space="preserve">USD</t>
  </si>
  <si>
    <t xml:space="preserve">Debit Card</t>
  </si>
  <si>
    <t xml:space="preserve">Released</t>
  </si>
  <si>
    <t xml:space="preserve">Closed</t>
  </si>
  <si>
    <t xml:space="preserve">Domain &amp; Licensing</t>
  </si>
  <si>
    <t xml:space="preserve">EUR</t>
  </si>
  <si>
    <t xml:space="preserve">Bank Transfer</t>
  </si>
  <si>
    <t xml:space="preserve">✅ Completed</t>
  </si>
  <si>
    <t xml:space="preserve">Delayed</t>
  </si>
  <si>
    <t xml:space="preserve">Design &amp; Assets</t>
  </si>
  <si>
    <t xml:space="preserve">Cash</t>
  </si>
  <si>
    <t xml:space="preserve">Marketing</t>
  </si>
  <si>
    <t xml:space="preserve">Other</t>
  </si>
  <si>
    <t xml:space="preserve">Professional Services</t>
  </si>
  <si>
    <t xml:space="preserve">Miscellaneous</t>
  </si>
  <si>
    <t xml:space="preserve">Expense ID</t>
  </si>
  <si>
    <t xml:space="preserve">Amount</t>
  </si>
  <si>
    <t xml:space="preserve">Exchange Rate to AED</t>
  </si>
  <si>
    <t xml:space="preserve">Amount (AED)</t>
  </si>
  <si>
    <t xml:space="preserve">Spend (AED)</t>
  </si>
  <si>
    <t xml:space="preserve">EXP-001</t>
  </si>
  <si>
    <t xml:space="preserve">Project expense</t>
  </si>
  <si>
    <t xml:space="preserve">EXP-002</t>
  </si>
  <si>
    <t xml:space="preserve">Claude subscription</t>
  </si>
  <si>
    <t xml:space="preserve">TOTAL SPEND (AED)</t>
  </si>
  <si>
    <t xml:space="preserve">CTG-001</t>
  </si>
  <si>
    <t xml:space="preserve">ML7-EP03</t>
  </si>
  <si>
    <t xml:space="preserve">Category Domain</t>
  </si>
  <si>
    <t xml:space="preserve">Build and seed the real Category taxonomy domain, unblocking AI Conversation intake design.</t>
  </si>
  <si>
    <t xml:space="preserve">Build the real Category domain and seed the v1 launch taxonomy</t>
  </si>
  <si>
    <t xml:space="preserve">As the engineering team, we need the real Category domain (category.categories, category.category_question_templates, and the real provider_categories join table) to exist and be seeded with the v1 launch taxonomy, so that AI-001's conversational intake has real categories and follow-up questions to resolve against instead of an interim workaround.
This story builds the schema 04_DATABASE.md's Category Domain section already specifies and seeds it with the 14-category v1 launch taxonomy locked in docs/AI/17_CATEGORY_TAXONOMY.md (13_OPEN_DECISIONS.md item 1). It does not reconcile PRO-002's existing free-text provider_category_labels into the new real categories, and does not change how providers select categories today -- migrating provider-facing category selection to the real domain is a separate, future decision.
Scope boundary: no AI conversation logic (that's AI-001/AI-002). No change to provider_category_labels or DIR-001's existing search matching.</t>
  </si>
  <si>
    <t xml:space="preserve">1. Migration creates category.categories, category.category_question_templates, and category.provider_categories exactly per 04_DATABASE.md's Category Domain section (self-referential parent_category_id, JSONB options, composite PK on provider_categories).
2. Migration seeds category.categories with the 14 categories from docs/AI/17_CATEGORY_TAXONOMY.md (slug, name, name_ar, sort_order).
3. Migration seeds category.category_question_templates with every follow-up question listed in docs/AI/17_CATEGORY_TAXONOMY.md (question_text, question_text_ar, question_type, options, is_required, sort_order).
4. Seed data is idempotent -- running the migration's upgrade twice, or an upgrade/downgrade/upgrade cycle, never creates duplicate category or question-template rows.
5. A read-only service method (or endpoint, if warranted) exposes the seeded categories and their question templates so AI-001 can consume them once built.
6. provider_category_labels and DIR-001's existing search query are completely unmodified -- this story adds a new, independent domain without changing provider-facing category behavior.
7. Automated tests cover: migration upgrade/downgrade, seed data completeness (14 categories, correct per-category question counts), and idempotency.</t>
  </si>
  <si>
    <t xml:space="preserve">DIR-001, CTG-001</t>
  </si>
</sst>
</file>

<file path=xl/styles.xml><?xml version="1.0" encoding="utf-8"?>
<styleSheet xmlns="http://schemas.openxmlformats.org/spreadsheetml/2006/main">
  <numFmts count="7">
    <numFmt numFmtId="164" formatCode="General"/>
    <numFmt numFmtId="165" formatCode="_-* #,##0.00_-;\-* #,##0.00_-;_-* \-??_-;_-@_-"/>
    <numFmt numFmtId="166" formatCode="_-* #,##0_-;\-* #,##0_-;_-* \-_-;_-@_-"/>
    <numFmt numFmtId="167" formatCode="0%"/>
    <numFmt numFmtId="168" formatCode="#,##0.00"/>
    <numFmt numFmtId="169" formatCode="dd\-mmm\-yyyy"/>
    <numFmt numFmtId="170" formatCode="0.000"/>
  </numFmts>
  <fonts count="16">
    <font>
      <sz val="11"/>
      <color theme="1"/>
      <name val="Calibri"/>
      <family val="0"/>
      <charset val="1"/>
    </font>
    <font>
      <sz val="10"/>
      <name val="Arial"/>
      <family val="0"/>
    </font>
    <font>
      <sz val="10"/>
      <name val="Arial"/>
      <family val="0"/>
    </font>
    <font>
      <sz val="10"/>
      <name val="Arial"/>
      <family val="0"/>
    </font>
    <font>
      <sz val="10"/>
      <name val="Arial"/>
      <family val="2"/>
      <charset val="1"/>
    </font>
    <font>
      <b val="true"/>
      <sz val="16"/>
      <color rgb="FF1F3864"/>
      <name val="Aptos Narrow"/>
      <family val="0"/>
      <charset val="1"/>
    </font>
    <font>
      <i val="true"/>
      <sz val="9"/>
      <color rgb="FF666666"/>
      <name val="Aptos Narrow"/>
      <family val="0"/>
      <charset val="1"/>
    </font>
    <font>
      <b val="true"/>
      <sz val="9"/>
      <color rgb="FF1155CC"/>
      <name val="Aptos Narrow"/>
      <family val="0"/>
      <charset val="1"/>
    </font>
    <font>
      <b val="true"/>
      <sz val="11"/>
      <color rgb="FFFFFFFF"/>
      <name val="Aptos Narrow"/>
      <family val="0"/>
      <charset val="1"/>
    </font>
    <font>
      <sz val="10"/>
      <name val="Aptos Narrow"/>
      <family val="0"/>
      <charset val="1"/>
    </font>
    <font>
      <b val="true"/>
      <sz val="10"/>
      <name val="Aptos Narrow"/>
      <family val="0"/>
      <charset val="1"/>
    </font>
    <font>
      <b val="true"/>
      <sz val="18"/>
      <color rgb="FF000000"/>
      <name val="Calibri"/>
      <family val="2"/>
    </font>
    <font>
      <sz val="10"/>
      <color rgb="FF000000"/>
      <name val="Calibri"/>
      <family val="2"/>
    </font>
    <font>
      <b val="true"/>
      <sz val="10"/>
      <color rgb="FF000000"/>
      <name val="Calibri"/>
      <family val="2"/>
    </font>
    <font>
      <sz val="10"/>
      <color rgb="FF1155CC"/>
      <name val="Aptos Narrow"/>
      <family val="0"/>
      <charset val="1"/>
    </font>
    <font>
      <sz val="10"/>
      <name val="Arial"/>
      <family val="2"/>
    </font>
  </fonts>
  <fills count="4">
    <fill>
      <patternFill patternType="none"/>
    </fill>
    <fill>
      <patternFill patternType="gray125"/>
    </fill>
    <fill>
      <patternFill patternType="solid">
        <fgColor rgb="FFEEF3FB"/>
        <bgColor rgb="FFE7E6E6"/>
      </patternFill>
    </fill>
    <fill>
      <patternFill patternType="solid">
        <fgColor rgb="FF1F3864"/>
        <bgColor rgb="FF1F4E78"/>
      </patternFill>
    </fill>
  </fills>
  <borders count="2">
    <border diagonalUp="false" diagonalDown="false">
      <left/>
      <right/>
      <top/>
      <bottom/>
      <diagonal/>
    </border>
    <border diagonalUp="false" diagonalDown="false">
      <left style="thin">
        <color rgb="FFD9D9D9"/>
      </left>
      <right style="thin">
        <color rgb="FFD9D9D9"/>
      </right>
      <top style="thin">
        <color rgb="FFD9D9D9"/>
      </top>
      <bottom style="thin">
        <color rgb="FFD9D9D9"/>
      </bottom>
      <diagonal/>
    </border>
  </borders>
  <cellStyleXfs count="25">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5" fontId="4" fillId="0" borderId="0" applyFont="true" applyBorder="true" applyAlignment="true" applyProtection="true">
      <alignment horizontal="general" vertical="bottom" textRotation="0" wrapText="false" indent="0" shrinkToFit="false"/>
      <protection locked="true" hidden="false"/>
    </xf>
    <xf numFmtId="166" fontId="4" fillId="0" borderId="0" applyFont="true" applyBorder="true" applyAlignment="true" applyProtection="true">
      <alignment horizontal="general" vertical="bottom" textRotation="0" wrapText="false" indent="0" shrinkToFit="false"/>
      <protection locked="true" hidden="false"/>
    </xf>
    <xf numFmtId="165" fontId="4" fillId="0" borderId="0" applyFont="true" applyBorder="true" applyAlignment="true" applyProtection="true">
      <alignment horizontal="general" vertical="bottom" textRotation="0" wrapText="false" indent="0" shrinkToFit="false"/>
      <protection locked="true" hidden="false"/>
    </xf>
    <xf numFmtId="166" fontId="4" fillId="0" borderId="0" applyFont="true" applyBorder="true" applyAlignment="true" applyProtection="true">
      <alignment horizontal="general" vertical="bottom" textRotation="0" wrapText="false" indent="0" shrinkToFit="false"/>
      <protection locked="true" hidden="false"/>
    </xf>
    <xf numFmtId="167" fontId="4" fillId="0" borderId="0" applyFont="true" applyBorder="true" applyAlignment="true" applyProtection="true">
      <alignment horizontal="general" vertical="bottom" textRotation="0" wrapText="false" indent="0" shrinkToFit="false"/>
      <protection locked="true" hidden="false"/>
    </xf>
  </cellStyleXfs>
  <cellXfs count="23">
    <xf numFmtId="164" fontId="0" fillId="0" borderId="0" xfId="0" applyFont="fals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2" borderId="0" xfId="0" applyFont="true" applyBorder="false" applyAlignment="true" applyProtection="false">
      <alignment horizontal="center" vertical="center" textRotation="0" wrapText="false" indent="0" shrinkToFit="false"/>
      <protection locked="true" hidden="false"/>
    </xf>
    <xf numFmtId="164" fontId="8" fillId="3" borderId="0" xfId="0" applyFont="true" applyBorder="false" applyAlignment="true" applyProtection="false">
      <alignment horizontal="center" vertical="center" textRotation="0" wrapText="true" indent="0" shrinkToFit="false"/>
      <protection locked="true" hidden="false"/>
    </xf>
    <xf numFmtId="164" fontId="9" fillId="0" borderId="1" xfId="0" applyFont="true" applyBorder="true" applyAlignment="true" applyProtection="false">
      <alignment horizontal="general" vertical="center" textRotation="0" wrapText="false" indent="0" shrinkToFit="false"/>
      <protection locked="true" hidden="false"/>
    </xf>
    <xf numFmtId="167" fontId="9" fillId="0" borderId="1" xfId="0" applyFont="true" applyBorder="true" applyAlignment="true" applyProtection="false">
      <alignment horizontal="general" vertical="center" textRotation="0" wrapText="false" indent="0" shrinkToFit="false"/>
      <protection locked="true" hidden="false"/>
    </xf>
    <xf numFmtId="167" fontId="0" fillId="0" borderId="0" xfId="0" applyFont="false" applyBorder="false" applyAlignment="false" applyProtection="false">
      <alignment horizontal="general" vertical="bottom" textRotation="0" wrapText="false" indent="0" shrinkToFit="false"/>
      <protection locked="true" hidden="false"/>
    </xf>
    <xf numFmtId="164" fontId="10" fillId="0" borderId="1" xfId="0" applyFont="true" applyBorder="true" applyAlignment="false" applyProtection="false">
      <alignment horizontal="general" vertical="bottom" textRotation="0" wrapText="false" indent="0" shrinkToFit="false"/>
      <protection locked="true" hidden="false"/>
    </xf>
    <xf numFmtId="168" fontId="9" fillId="0" borderId="1" xfId="0" applyFont="true" applyBorder="tru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0" fillId="0" borderId="0" xfId="0" applyFont="false" applyBorder="false" applyAlignment="true" applyProtection="false">
      <alignment horizontal="general" vertical="bottom" textRotation="0" wrapText="true" indent="0" shrinkToFit="false"/>
      <protection locked="true" hidden="false"/>
    </xf>
    <xf numFmtId="164" fontId="9" fillId="0" borderId="1" xfId="0" applyFont="true" applyBorder="true" applyAlignment="true" applyProtection="false">
      <alignment horizontal="general" vertical="center" textRotation="0" wrapText="true" indent="0" shrinkToFit="false"/>
      <protection locked="true" hidden="false"/>
    </xf>
    <xf numFmtId="164" fontId="14" fillId="0" borderId="1" xfId="0" applyFont="true" applyBorder="true" applyAlignment="true" applyProtection="false">
      <alignment horizontal="general" vertical="center" textRotation="0" wrapText="true" indent="0" shrinkToFit="false"/>
      <protection locked="true" hidden="false"/>
    </xf>
    <xf numFmtId="169" fontId="9" fillId="0" borderId="1" xfId="0" applyFont="true" applyBorder="true" applyAlignment="true" applyProtection="false">
      <alignment horizontal="general" vertical="center" textRotation="0" wrapText="true" indent="0" shrinkToFit="false"/>
      <protection locked="true" hidden="false"/>
    </xf>
    <xf numFmtId="167" fontId="9" fillId="0" borderId="1" xfId="0" applyFont="true" applyBorder="true" applyAlignment="true" applyProtection="false">
      <alignment horizontal="general" vertical="center" textRotation="0" wrapText="true" indent="0" shrinkToFit="false"/>
      <protection locked="true" hidden="false"/>
    </xf>
    <xf numFmtId="169" fontId="9" fillId="0" borderId="1" xfId="0" applyFont="true" applyBorder="true" applyAlignment="true" applyProtection="false">
      <alignment horizontal="general" vertical="center" textRotation="0" wrapText="false" indent="0" shrinkToFit="false"/>
      <protection locked="true" hidden="false"/>
    </xf>
    <xf numFmtId="164" fontId="8" fillId="3" borderId="1" xfId="0" applyFont="true" applyBorder="true" applyAlignment="true" applyProtection="false">
      <alignment horizontal="center" vertical="center" textRotation="0" wrapText="tru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8" fontId="9" fillId="0" borderId="1" xfId="0" applyFont="true" applyBorder="true" applyAlignment="true" applyProtection="false">
      <alignment horizontal="general" vertical="center" textRotation="0" wrapText="false" indent="0" shrinkToFit="false"/>
      <protection locked="true" hidden="false"/>
    </xf>
    <xf numFmtId="170" fontId="9" fillId="0" borderId="1" xfId="0" applyFont="true" applyBorder="true" applyAlignment="true" applyProtection="false">
      <alignment horizontal="general" vertical="center" textRotation="0" wrapText="false" indent="0" shrinkToFit="false"/>
      <protection locked="true" hidden="false"/>
    </xf>
    <xf numFmtId="168" fontId="0" fillId="0" borderId="0" xfId="0" applyFont="false" applyBorder="false" applyAlignment="false" applyProtection="false">
      <alignment horizontal="general" vertical="bottom" textRotation="0" wrapText="false" indent="0" shrinkToFit="false"/>
      <protection locked="true" hidden="false"/>
    </xf>
    <xf numFmtId="168" fontId="10" fillId="2" borderId="0" xfId="0" applyFont="true" applyBorder="false" applyAlignment="false" applyProtection="false">
      <alignment horizontal="general" vertical="bottom" textRotation="0" wrapText="false" indent="0" shrinkToFit="false"/>
      <protection locked="true" hidden="false"/>
    </xf>
  </cellXfs>
  <cellStyles count="11">
    <cellStyle name="Normal" xfId="0" builtinId="0"/>
    <cellStyle name="Comma" xfId="15" builtinId="3"/>
    <cellStyle name="Comma [0]" xfId="16" builtinId="6"/>
    <cellStyle name="Currency" xfId="17" builtinId="4"/>
    <cellStyle name="Currency [0]" xfId="18" builtinId="7"/>
    <cellStyle name="Percent" xfId="19" builtinId="5"/>
    <cellStyle name="Comma" xfId="20"/>
    <cellStyle name="Comma [0]" xfId="21"/>
    <cellStyle name="Currency" xfId="22"/>
    <cellStyle name="Currency [0]" xfId="23"/>
    <cellStyle name="Percent" xfId="24"/>
  </cellStyles>
  <dxfs count="15">
    <dxf>
      <font>
        <color rgb="FF006100"/>
      </font>
      <fill>
        <patternFill>
          <bgColor rgb="FFC6EFCE"/>
        </patternFill>
      </fill>
    </dxf>
    <dxf>
      <font>
        <color rgb="FF1F4E78"/>
      </font>
      <fill>
        <patternFill>
          <bgColor rgb="FFBDD7EE"/>
        </patternFill>
      </fill>
    </dxf>
    <dxf>
      <font>
        <color rgb="FF9C0006"/>
      </font>
      <fill>
        <patternFill>
          <bgColor rgb="FFFFC7CE"/>
        </patternFill>
      </fill>
    </dxf>
    <dxf>
      <font>
        <color rgb="FF3B3838"/>
      </font>
      <fill>
        <patternFill>
          <bgColor rgb="FFE7E6E6"/>
        </patternFill>
      </fill>
    </dxf>
    <dxf>
      <font>
        <b val="1"/>
        <color rgb="FF9C0006"/>
      </font>
      <fill>
        <patternFill>
          <bgColor rgb="FFFFC7CE"/>
        </patternFill>
      </fill>
    </dxf>
    <dxf>
      <fill>
        <patternFill patternType="solid">
          <fgColor rgb="FF1F3864"/>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
      <fill>
        <patternFill patternType="solid">
          <fgColor rgb="FFC6EFCE"/>
          <bgColor rgb="FF000000"/>
        </patternFill>
      </fill>
    </dxf>
    <dxf>
      <fill>
        <patternFill patternType="solid">
          <fgColor rgb="FFE7E6E6"/>
          <bgColor rgb="FF000000"/>
        </patternFill>
      </fill>
    </dxf>
    <dxf>
      <fill>
        <patternFill patternType="solid">
          <fgColor rgb="FF006100"/>
          <bgColor rgb="FF000000"/>
        </patternFill>
      </fill>
    </dxf>
    <dxf>
      <fill>
        <patternFill patternType="solid">
          <fgColor rgb="FF3B3838"/>
          <bgColor rgb="FF000000"/>
        </patternFill>
      </fill>
    </dxf>
    <dxf>
      <fill>
        <patternFill patternType="solid">
          <fgColor rgb="FF1155CC"/>
          <bgColor rgb="FF000000"/>
        </patternFill>
      </fill>
    </dxf>
    <dxf>
      <fill>
        <patternFill patternType="solid">
          <fgColor rgb="FF666666"/>
          <bgColor rgb="FF000000"/>
        </patternFill>
      </fill>
    </dxf>
  </dxfs>
  <colors>
    <indexedColors>
      <rgbColor rgb="FF000000"/>
      <rgbColor rgb="FFFFFFFF"/>
      <rgbColor rgb="FFFF0000"/>
      <rgbColor rgb="FF00FF00"/>
      <rgbColor rgb="FF0000FF"/>
      <rgbColor rgb="FFFFFF00"/>
      <rgbColor rgb="FFFF00FF"/>
      <rgbColor rgb="FF00FFFF"/>
      <rgbColor rgb="FF9C0006"/>
      <rgbColor rgb="FF006100"/>
      <rgbColor rgb="FF000080"/>
      <rgbColor rgb="FF666666"/>
      <rgbColor rgb="FF800080"/>
      <rgbColor rgb="FF008080"/>
      <rgbColor rgb="FFB3B3B3"/>
      <rgbColor rgb="FF878787"/>
      <rgbColor rgb="FF9999FF"/>
      <rgbColor rgb="FFC0504D"/>
      <rgbColor rgb="FFEEF3FB"/>
      <rgbColor rgb="FFE7E6E6"/>
      <rgbColor rgb="FF660066"/>
      <rgbColor rgb="FFFF8080"/>
      <rgbColor rgb="FF1155CC"/>
      <rgbColor rgb="FFBDD7EE"/>
      <rgbColor rgb="FF000080"/>
      <rgbColor rgb="FFFF00FF"/>
      <rgbColor rgb="FFFFFF00"/>
      <rgbColor rgb="FF00FFFF"/>
      <rgbColor rgb="FF800080"/>
      <rgbColor rgb="FF800000"/>
      <rgbColor rgb="FF008080"/>
      <rgbColor rgb="FF0000FF"/>
      <rgbColor rgb="FF00CCFF"/>
      <rgbColor rgb="FFD9D9D9"/>
      <rgbColor rgb="FFC6EFCE"/>
      <rgbColor rgb="FFFFFF99"/>
      <rgbColor rgb="FF99CCFF"/>
      <rgbColor rgb="FFFF99CC"/>
      <rgbColor rgb="FFCC99FF"/>
      <rgbColor rgb="FFFFC7CE"/>
      <rgbColor rgb="FF4F81BD"/>
      <rgbColor rgb="FF33CCCC"/>
      <rgbColor rgb="FF9BBB59"/>
      <rgbColor rgb="FFFFCC00"/>
      <rgbColor rgb="FFFF9900"/>
      <rgbColor rgb="FFFF6600"/>
      <rgbColor rgb="FF8064A2"/>
      <rgbColor rgb="FF969696"/>
      <rgbColor rgb="FF1F3864"/>
      <rgbColor rgb="FF339966"/>
      <rgbColor rgb="FF003300"/>
      <rgbColor rgb="FF333300"/>
      <rgbColor rgb="FF993300"/>
      <rgbColor rgb="FF993366"/>
      <rgbColor rgb="FF1F4E78"/>
      <rgbColor rgb="FF3B3838"/>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sharedStrings" Target="sharedStrings.xml"/>
</Relationships>
</file>

<file path=xl/charts/_rels/chart1.xml.rels><?xml version="1.0" encoding="UTF-8"?>
<Relationships xmlns="http://schemas.openxmlformats.org/package/2006/relationships"><Relationship Id="rId1" Type="http://schemas.microsoft.com/office/2011/relationships/chartStyle" Target="style1.xml"/><Relationship Id="rId2" Type="http://schemas.microsoft.com/office/2011/relationships/chartColorStyle" Target="colors1.xml"/>
</Relationships>
</file>

<file path=xl/charts/_rels/chart2.xml.rels><?xml version="1.0" encoding="UTF-8"?>
<Relationships xmlns="http://schemas.openxmlformats.org/package/2006/relationships"><Relationship Id="rId1" Type="http://schemas.microsoft.com/office/2011/relationships/chartStyle" Target="style2.xml"/><Relationship Id="rId2" Type="http://schemas.microsoft.com/office/2011/relationships/chartColorStyle" Target="colors2.xml"/>
</Relationships>
</file>

<file path=xl/charts/_rels/chart3.xml.rels><?xml version="1.0" encoding="UTF-8"?>
<Relationships xmlns="http://schemas.openxmlformats.org/package/2006/relationships"><Relationship Id="rId1" Type="http://schemas.microsoft.com/office/2011/relationships/chartStyle" Target="style3.xml"/><Relationship Id="rId2" Type="http://schemas.microsoft.com/office/2011/relationships/chartColorStyle" Target="colors3.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lang="en-GB" sz="1800" b="1" u="none" strike="noStrike">
                <a:solidFill>
                  <a:srgbClr val="000000"/>
                </a:solidFill>
                <a:uFillTx/>
                <a:latin typeface="Calibri"/>
                <a:ea typeface="Calibri"/>
              </a:rPr>
              <a:t>Phase Progress</a:t>
            </a:r>
          </a:p>
        </c:rich>
      </c:tx>
      <c:overlay val="0"/>
      <c:spPr>
        <a:noFill/>
        <a:ln w="0">
          <a:noFill/>
        </a:ln>
      </c:spPr>
    </c:title>
    <c:autoTitleDeleted val="0"/>
    <c:plotArea>
      <c:barChart>
        <c:barDir val="col"/>
        <c:grouping val="clustered"/>
        <c:varyColors val="0"/>
        <c:ser>
          <c:idx val="0"/>
          <c:order val="0"/>
          <c:tx>
            <c:strRef>
              <c:f>Dashboard!$G$7</c:f>
              <c:strCache>
                <c:ptCount val="1"/>
                <c:pt idx="0">
                  <c:v>Progress %</c:v>
                </c:pt>
              </c:strCache>
            </c:strRef>
          </c:tx>
          <c:spPr>
            <a:solidFill>
              <a:srgbClr val="4F81BD"/>
            </a:solidFill>
            <a:ln w="0">
              <a:noFill/>
            </a:ln>
          </c:spPr>
          <c:invertIfNegative val="0"/>
          <c:dLbls>
            <c:txPr>
              <a:bodyPr wrap="square"/>
              <a:lstStyle/>
              <a:p>
                <a:pPr>
                  <a:defRPr sz="1000" b="0" u="none" strike="noStrike">
                    <a:solidFill>
                      <a:srgbClr val="000000"/>
                    </a:solidFill>
                    <a:uFillTx/>
                    <a:latin typeface="Arial"/>
                    <a:ea typeface="Arial"/>
                  </a:defRPr>
                </a:pPr>
              </a:p>
            </c:txPr>
            <c:dLblPos val="outEnd"/>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Dashboard!$F$8:$F$13</c:f>
              <c:strCache>
                <c:ptCount val="6"/>
                <c:pt idx="0">
                  <c:v>Platform Foundation</c:v>
                </c:pt>
                <c:pt idx="1">
                  <c:v>Feature Delivery (Vertical Slices)</c:v>
                </c:pt>
                <c:pt idx="2">
                  <c:v>Production Readiness</c:v>
                </c:pt>
                <c:pt idx="3">
                  <c:v>MVP Release</c:v>
                </c:pt>
                <c:pt idx="4">
                  <c:v>0</c:v>
                </c:pt>
                <c:pt idx="5">
                  <c:v>0</c:v>
                </c:pt>
              </c:strCache>
            </c:strRef>
          </c:cat>
          <c:val>
            <c:numRef>
              <c:f>Dashboard!$G$8:$G$13</c:f>
              <c:numCache>
                <c:formatCode>0%</c:formatCode>
                <c:ptCount val="6"/>
                <c:pt idx="0">
                  <c:v>1</c:v>
                </c:pt>
                <c:pt idx="1">
                  <c:v>0</c:v>
                </c:pt>
                <c:pt idx="2">
                  <c:v>0</c:v>
                </c:pt>
                <c:pt idx="3">
                  <c:v>0</c:v>
                </c:pt>
                <c:pt idx="4">
                  <c:v>0</c:v>
                </c:pt>
                <c:pt idx="5">
                  <c:v>0</c:v>
                </c:pt>
              </c:numCache>
            </c:numRef>
          </c:val>
        </c:ser>
        <c:gapWidth val="150"/>
        <c:overlap val="0"/>
        <c:axId val="23655444"/>
        <c:axId val="66520293"/>
      </c:barChart>
      <c:catAx>
        <c:axId val="23655444"/>
        <c:scaling>
          <c:orientation val="minMax"/>
        </c:scaling>
        <c:delete val="0"/>
        <c:axPos val="b"/>
        <c:numFmt formatCode="General"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ea typeface="Calibri"/>
              </a:defRPr>
            </a:pPr>
          </a:p>
        </c:txPr>
        <c:crossAx val="66520293"/>
        <c:crosses val="autoZero"/>
        <c:auto val="1"/>
        <c:lblAlgn val="ctr"/>
        <c:lblOffset val="100"/>
        <c:noMultiLvlLbl val="0"/>
      </c:catAx>
      <c:valAx>
        <c:axId val="66520293"/>
        <c:scaling>
          <c:orientation val="minMax"/>
        </c:scaling>
        <c:delete val="0"/>
        <c:axPos val="l"/>
        <c:majorGridlines>
          <c:spPr>
            <a:ln w="9360">
              <a:solidFill>
                <a:srgbClr val="878787"/>
              </a:solidFill>
              <a:round/>
            </a:ln>
          </c:spPr>
        </c:majorGridlines>
        <c:title>
          <c:tx>
            <c:rich>
              <a:bodyPr rot="-5400000"/>
              <a:lstStyle/>
              <a:p>
                <a:pPr>
                  <a:defRPr sz="1300" b="0" u="none" strike="noStrike">
                    <a:uFillTx/>
                    <a:latin typeface="Arial"/>
                  </a:defRPr>
                </a:pPr>
                <a:r>
                  <a:rPr lang="en-GB" sz="1000" b="1" u="none" strike="noStrike">
                    <a:solidFill>
                      <a:srgbClr val="000000"/>
                    </a:solidFill>
                    <a:uFillTx/>
                    <a:latin typeface="Calibri"/>
                    <a:ea typeface="Calibri"/>
                  </a:rPr>
                  <a:t>Progress %</a:t>
                </a:r>
              </a:p>
            </c:rich>
          </c:tx>
          <c:overlay val="0"/>
          <c:spPr>
            <a:noFill/>
            <a:ln w="0">
              <a:noFill/>
            </a:ln>
          </c:spPr>
        </c:title>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ea typeface="Calibri"/>
              </a:defRPr>
            </a:pPr>
          </a:p>
        </c:txPr>
        <c:crossAx val="23655444"/>
        <c:crosses val="autoZero"/>
        <c:crossBetween val="between"/>
      </c:valAx>
      <c:spPr>
        <a:solidFill>
          <a:srgbClr val="FFFFFF"/>
        </a:solidFill>
        <a:ln w="0">
          <a:noFill/>
        </a:ln>
      </c:spPr>
    </c:plotArea>
    <c:plotVisOnly val="1"/>
    <c:dispBlanksAs val="zero"/>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lang="en-GB" sz="1800" b="1" u="none" strike="noStrike">
                <a:solidFill>
                  <a:srgbClr val="000000"/>
                </a:solidFill>
                <a:uFillTx/>
                <a:latin typeface="Calibri"/>
                <a:ea typeface="Calibri"/>
              </a:rPr>
              <a:t>Story Status Distribution</a:t>
            </a:r>
          </a:p>
        </c:rich>
      </c:tx>
      <c:overlay val="0"/>
      <c:spPr>
        <a:noFill/>
        <a:ln w="0">
          <a:noFill/>
        </a:ln>
      </c:spPr>
    </c:title>
    <c:autoTitleDeleted val="0"/>
    <c:plotArea>
      <c:pieChart>
        <c:varyColors val="1"/>
        <c:ser>
          <c:idx val="0"/>
          <c:order val="0"/>
          <c:tx>
            <c:strRef>
              <c:f>Dashboard!$J$6</c:f>
              <c:strCache>
                <c:ptCount val="1"/>
                <c:pt idx="0">
                  <c:v/>
                </c:pt>
              </c:strCache>
            </c:strRef>
          </c:tx>
          <c:spPr>
            <a:solidFill>
              <a:srgbClr val="4F81BD"/>
            </a:solidFill>
            <a:ln w="0">
              <a:noFill/>
            </a:ln>
          </c:spPr>
          <c:explosion val="0"/>
          <c:dPt>
            <c:idx val="0"/>
            <c:spPr>
              <a:solidFill>
                <a:srgbClr val="4F81BD"/>
              </a:solidFill>
              <a:ln w="0">
                <a:noFill/>
              </a:ln>
            </c:spPr>
          </c:dPt>
          <c:dPt>
            <c:idx val="1"/>
            <c:spPr>
              <a:solidFill>
                <a:srgbClr val="C0504D"/>
              </a:solidFill>
              <a:ln w="0">
                <a:noFill/>
              </a:ln>
            </c:spPr>
          </c:dPt>
          <c:dPt>
            <c:idx val="2"/>
            <c:spPr>
              <a:solidFill>
                <a:srgbClr val="9BBB59"/>
              </a:solidFill>
              <a:ln w="0">
                <a:noFill/>
              </a:ln>
            </c:spPr>
          </c:dPt>
          <c:dPt>
            <c:idx val="3"/>
            <c:spPr>
              <a:solidFill>
                <a:srgbClr val="8064A2"/>
              </a:solidFill>
              <a:ln w="0">
                <a:noFill/>
              </a:ln>
            </c:spPr>
          </c:dPt>
          <c:dLbls>
            <c:dLbl>
              <c:idx val="0"/>
              <c:txPr>
                <a:bodyPr wrap="square"/>
                <a:lstStyle/>
                <a:p>
                  <a:pPr>
                    <a:defRPr sz="1000" b="0" u="none" strike="noStrike">
                      <a:solidFill>
                        <a:srgbClr val="000000"/>
                      </a:solidFill>
                      <a:uFillTx/>
                      <a:latin typeface="Arial"/>
                      <a:ea typeface="Arial"/>
                    </a:defRPr>
                  </a:pPr>
                </a:p>
              </c:txPr>
              <c:dLblPos val="bestFit"/>
              <c:showLegendKey val="0"/>
              <c:showVal val="0"/>
              <c:showCatName val="0"/>
              <c:showSerName val="0"/>
              <c:showPercent val="0"/>
              <c:separator>; </c:separator>
            </c:dLbl>
            <c:dLbl>
              <c:idx val="1"/>
              <c:txPr>
                <a:bodyPr wrap="square"/>
                <a:lstStyle/>
                <a:p>
                  <a:pPr>
                    <a:defRPr sz="1000" b="0" u="none" strike="noStrike">
                      <a:solidFill>
                        <a:srgbClr val="000000"/>
                      </a:solidFill>
                      <a:uFillTx/>
                      <a:latin typeface="Arial"/>
                      <a:ea typeface="Arial"/>
                    </a:defRPr>
                  </a:pPr>
                </a:p>
              </c:txPr>
              <c:dLblPos val="bestFit"/>
              <c:showLegendKey val="0"/>
              <c:showVal val="0"/>
              <c:showCatName val="0"/>
              <c:showSerName val="0"/>
              <c:showPercent val="0"/>
              <c:separator>; </c:separator>
            </c:dLbl>
            <c:dLbl>
              <c:idx val="2"/>
              <c:txPr>
                <a:bodyPr wrap="square"/>
                <a:lstStyle/>
                <a:p>
                  <a:pPr>
                    <a:defRPr sz="1000" b="0" u="none" strike="noStrike">
                      <a:solidFill>
                        <a:srgbClr val="000000"/>
                      </a:solidFill>
                      <a:uFillTx/>
                      <a:latin typeface="Arial"/>
                      <a:ea typeface="Arial"/>
                    </a:defRPr>
                  </a:pPr>
                </a:p>
              </c:txPr>
              <c:dLblPos val="bestFit"/>
              <c:showLegendKey val="0"/>
              <c:showVal val="0"/>
              <c:showCatName val="0"/>
              <c:showSerName val="0"/>
              <c:showPercent val="0"/>
              <c:separator>; </c:separator>
            </c:dLbl>
            <c:dLbl>
              <c:idx val="3"/>
              <c:txPr>
                <a:bodyPr wrap="square"/>
                <a:lstStyle/>
                <a:p>
                  <a:pPr>
                    <a:defRPr sz="1000" b="0" u="none" strike="noStrike">
                      <a:solidFill>
                        <a:srgbClr val="000000"/>
                      </a:solidFill>
                      <a:uFillTx/>
                      <a:latin typeface="Arial"/>
                      <a:ea typeface="Arial"/>
                    </a:defRPr>
                  </a:pPr>
                </a:p>
              </c:txPr>
              <c:dLblPos val="bestFit"/>
              <c:showLegendKey val="0"/>
              <c:showVal val="0"/>
              <c:showCatName val="0"/>
              <c:showSerName val="0"/>
              <c:showPercent val="0"/>
              <c:separator>; </c:separator>
            </c:dLbl>
            <c:txPr>
              <a:bodyPr wrap="square"/>
              <a:lstStyle/>
              <a:p>
                <a:pPr>
                  <a:defRPr sz="1000" b="0" u="none" strike="noStrike">
                    <a:solidFill>
                      <a:srgbClr val="000000"/>
                    </a:solidFill>
                    <a:uFillTx/>
                    <a:latin typeface="Arial"/>
                    <a:ea typeface="Arial"/>
                  </a:defRPr>
                </a:pPr>
              </a:p>
            </c:txPr>
            <c:dLblPos val="bestFit"/>
            <c:showLegendKey val="0"/>
            <c:showVal val="0"/>
            <c:showCatName val="0"/>
            <c:showSerName val="0"/>
            <c:showPercent val="0"/>
            <c:separator>; </c:separator>
            <c:showLeaderLines val="1"/>
            <c:leaderLines>
              <c:spPr>
                <a:ln w="0">
                  <a:solidFill>
                    <a:srgbClr val="000000"/>
                  </a:solidFill>
                </a:ln>
              </c:spPr>
            </c:leaderLines>
          </c:dLbls>
          <c:cat>
            <c:strRef>
              <c:f>Dashboard!$I$7:$I$10</c:f>
              <c:strCache>
                <c:ptCount val="4"/>
                <c:pt idx="0">
                  <c:v>✅ Done</c:v>
                </c:pt>
                <c:pt idx="1">
                  <c:v>🔄 In Progress</c:v>
                </c:pt>
                <c:pt idx="2">
                  <c:v>🚫 Blocked</c:v>
                </c:pt>
                <c:pt idx="3">
                  <c:v>⏳ Not Started</c:v>
                </c:pt>
              </c:strCache>
            </c:strRef>
          </c:cat>
          <c:val>
            <c:numRef>
              <c:f>Dashboard!$J$7:$J$10</c:f>
              <c:numCache>
                <c:formatCode>General</c:formatCode>
                <c:ptCount val="4"/>
                <c:pt idx="0">
                  <c:v>18</c:v>
                </c:pt>
                <c:pt idx="1">
                  <c:v>0</c:v>
                </c:pt>
                <c:pt idx="2">
                  <c:v>0</c:v>
                </c:pt>
                <c:pt idx="3">
                  <c:v>28</c:v>
                </c:pt>
              </c:numCache>
            </c:numRef>
          </c:val>
        </c:ser>
        <c:firstSliceAng val="0"/>
      </c:pieChart>
      <c:spPr>
        <a:solidFill>
          <a:srgbClr val="FFFFFF"/>
        </a:solidFill>
        <a:ln w="0">
          <a:noFill/>
        </a:ln>
      </c:spPr>
    </c:plotArea>
    <c:legend>
      <c:legendPos val="r"/>
      <c:overlay val="0"/>
      <c:spPr>
        <a:noFill/>
        <a:ln w="0">
          <a:noFill/>
        </a:ln>
      </c:spPr>
      <c:txPr>
        <a:bodyPr/>
        <a:lstStyle/>
        <a:p>
          <a:pPr>
            <a:defRPr sz="1000" b="0" u="none" strike="noStrike">
              <a:solidFill>
                <a:srgbClr val="000000"/>
              </a:solidFill>
              <a:uFillTx/>
              <a:latin typeface="Calibri"/>
              <a:ea typeface="Calibri"/>
            </a:defRPr>
          </a:pPr>
        </a:p>
      </c:txPr>
    </c:legend>
    <c:plotVisOnly val="1"/>
    <c:dispBlanksAs val="zero"/>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800" b="1" u="none" strike="noStrike">
                <a:solidFill>
                  <a:srgbClr val="000000"/>
                </a:solidFill>
                <a:uFillTx/>
                <a:latin typeface="Calibri"/>
                <a:ea typeface="Calibri"/>
              </a:rPr>
              <a:t>Spend by Category (AED)</a:t>
            </a:r>
          </a:p>
        </c:rich>
      </c:tx>
      <c:overlay val="0"/>
      <c:spPr>
        <a:noFill/>
        <a:ln w="0">
          <a:noFill/>
        </a:ln>
      </c:spPr>
    </c:title>
    <c:autoTitleDeleted val="0"/>
    <c:plotArea>
      <c:barChart>
        <c:barDir val="bar"/>
        <c:grouping val="clustered"/>
        <c:varyColors val="0"/>
        <c:ser>
          <c:idx val="0"/>
          <c:order val="0"/>
          <c:tx>
            <c:strRef>
              <c:f>Expenses!$M$1</c:f>
              <c:strCache>
                <c:ptCount val="1"/>
                <c:pt idx="0">
                  <c:v>Spend (AED)</c:v>
                </c:pt>
              </c:strCache>
            </c:strRef>
          </c:tx>
          <c:spPr>
            <a:solidFill>
              <a:srgbClr val="4F81BD"/>
            </a:solidFill>
            <a:ln w="0">
              <a:noFill/>
            </a:ln>
          </c:spPr>
          <c:invertIfNegative val="0"/>
          <c:dLbls>
            <c:txPr>
              <a:bodyPr wrap="square"/>
              <a:lstStyle/>
              <a:p>
                <a:pPr>
                  <a:defRPr sz="1000" b="0" u="none" strike="noStrike">
                    <a:solidFill>
                      <a:srgbClr val="000000"/>
                    </a:solidFill>
                    <a:uFillTx/>
                    <a:latin typeface="Arial"/>
                    <a:ea typeface="Arial"/>
                  </a:defRPr>
                </a:pPr>
              </a:p>
            </c:txPr>
            <c:dLblPos val="outEnd"/>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Expenses!$L$2:$L$8</c:f>
              <c:strCache>
                <c:ptCount val="7"/>
                <c:pt idx="0">
                  <c:v>Subscriptions &amp; Tools</c:v>
                </c:pt>
                <c:pt idx="1">
                  <c:v>Hosting &amp; Infrastructure</c:v>
                </c:pt>
                <c:pt idx="2">
                  <c:v>Domain &amp; Licensing</c:v>
                </c:pt>
                <c:pt idx="3">
                  <c:v>Design &amp; Assets</c:v>
                </c:pt>
                <c:pt idx="4">
                  <c:v>Marketing</c:v>
                </c:pt>
                <c:pt idx="5">
                  <c:v>Professional Services</c:v>
                </c:pt>
                <c:pt idx="6">
                  <c:v>Miscellaneous</c:v>
                </c:pt>
              </c:strCache>
            </c:strRef>
          </c:cat>
          <c:val>
            <c:numRef>
              <c:f>Expenses!$M$2:$M$8</c:f>
              <c:numCache>
                <c:formatCode>#,##0.00</c:formatCode>
                <c:ptCount val="7"/>
                <c:pt idx="0">
                  <c:v>77.133</c:v>
                </c:pt>
                <c:pt idx="1">
                  <c:v>0</c:v>
                </c:pt>
                <c:pt idx="2">
                  <c:v>57.5</c:v>
                </c:pt>
                <c:pt idx="3">
                  <c:v>0</c:v>
                </c:pt>
                <c:pt idx="4">
                  <c:v>0</c:v>
                </c:pt>
                <c:pt idx="5">
                  <c:v>0</c:v>
                </c:pt>
                <c:pt idx="6">
                  <c:v>0</c:v>
                </c:pt>
              </c:numCache>
            </c:numRef>
          </c:val>
        </c:ser>
        <c:gapWidth val="150"/>
        <c:overlap val="0"/>
        <c:axId val="81706078"/>
        <c:axId val="73352865"/>
      </c:barChart>
      <c:catAx>
        <c:axId val="81706078"/>
        <c:scaling>
          <c:orientation val="minMax"/>
        </c:scaling>
        <c:delete val="0"/>
        <c:axPos val="b"/>
        <c:numFmt formatCode="General" sourceLinked="0"/>
        <c:majorTickMark val="none"/>
        <c:minorTickMark val="none"/>
        <c:tickLblPos val="nextTo"/>
        <c:spPr>
          <a:ln w="0">
            <a:solidFill>
              <a:srgbClr val="B3B3B3"/>
            </a:solidFill>
          </a:ln>
        </c:spPr>
        <c:txPr>
          <a:bodyPr/>
          <a:lstStyle/>
          <a:p>
            <a:pPr>
              <a:defRPr sz="1000" b="0" u="none" strike="noStrike">
                <a:solidFill>
                  <a:srgbClr val="000000"/>
                </a:solidFill>
                <a:uFillTx/>
                <a:latin typeface="Calibri"/>
                <a:ea typeface="Calibri"/>
              </a:defRPr>
            </a:pPr>
          </a:p>
        </c:txPr>
        <c:crossAx val="73352865"/>
        <c:crosses val="autoZero"/>
        <c:auto val="1"/>
        <c:lblAlgn val="ctr"/>
        <c:lblOffset val="100"/>
        <c:noMultiLvlLbl val="0"/>
      </c:catAx>
      <c:valAx>
        <c:axId val="73352865"/>
        <c:scaling>
          <c:orientation val="minMax"/>
        </c:scaling>
        <c:delete val="0"/>
        <c:axPos val="l"/>
        <c:majorGridlines>
          <c:spPr>
            <a:ln w="0">
              <a:solidFill>
                <a:srgbClr val="B3B3B3"/>
              </a:solidFill>
            </a:ln>
          </c:spPr>
        </c:majorGridlines>
        <c:numFmt formatCode="#,##0.00" sourceLinked="0"/>
        <c:majorTickMark val="none"/>
        <c:minorTickMark val="none"/>
        <c:tickLblPos val="nextTo"/>
        <c:spPr>
          <a:ln w="0">
            <a:solidFill>
              <a:srgbClr val="B3B3B3"/>
            </a:solidFill>
          </a:ln>
        </c:spPr>
        <c:txPr>
          <a:bodyPr/>
          <a:lstStyle/>
          <a:p>
            <a:pPr>
              <a:defRPr sz="1000" b="0" u="none" strike="noStrike">
                <a:solidFill>
                  <a:srgbClr val="000000"/>
                </a:solidFill>
                <a:uFillTx/>
                <a:latin typeface="Calibri"/>
                <a:ea typeface="Calibri"/>
              </a:defRPr>
            </a:pPr>
          </a:p>
        </c:txPr>
        <c:crossAx val="81706078"/>
        <c:crosses val="autoZero"/>
        <c:crossBetween val="between"/>
      </c:valAx>
      <c:spPr>
        <a:solidFill>
          <a:srgbClr val="FFFFFF"/>
        </a:solidFill>
        <a:ln w="0">
          <a:noFill/>
        </a:ln>
      </c:spPr>
    </c:plotArea>
    <c:plotVisOnly val="1"/>
    <c:dispBlanksAs val="zero"/>
  </c:chart>
  <c:spPr>
    <a:solidFill>
      <a:srgbClr val="FFFFFF"/>
    </a:solidFill>
    <a:ln w="9360">
      <a:solidFill>
        <a:srgbClr val="D9D9D9"/>
      </a:solidFill>
      <a:round/>
    </a:ln>
  </c:spPr>
</c:chartSpace>
</file>

<file path=xl/charts/colors1.xml><?xml version="1.0" encoding="utf-8"?>
<cs:colorStyle xmlns:cs="http://schemas.microsoft.com/office/drawing/2012/chartStyle" xmlns:a="http://schemas.openxmlformats.org/drawingml/2006/main" meth="cycle" id="10">
  <a:schemeClr val="accent1"/>
</cs:colorStyle>
</file>

<file path=xl/charts/colors2.xml><?xml version="1.0" encoding="utf-8"?>
<cs:colorStyle xmlns:cs="http://schemas.microsoft.com/office/drawing/2012/chartStyle" xmlns:a="http://schemas.openxmlformats.org/drawingml/2006/main" meth="cycle" id="10">
  <a:schemeClr val="accent1"/>
</cs:colorStyle>
</file>

<file path=xl/charts/colors3.xml><?xml version="1.0" encoding="utf-8"?>
<cs:colorStyle xmlns:cs="http://schemas.microsoft.com/office/drawing/2012/chartStyle" xmlns:a="http://schemas.openxmlformats.org/drawingml/2006/main" meth="cycle" id="10">
  <a:schemeClr val="accent1"/>
</cs:colorStyle>
</file>

<file path=xl/charts/style1.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3.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
</Relationships>
</file>

<file path=xl/drawings/_rels/drawing2.xml.rels><?xml version="1.0" encoding="UTF-8"?>
<Relationships xmlns="http://schemas.openxmlformats.org/package/2006/relationships"><Relationship Id="rId1" Type="http://schemas.openxmlformats.org/officeDocument/2006/relationships/chart" Target="../charts/chart3.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5</xdr:col>
      <xdr:colOff>0</xdr:colOff>
      <xdr:row>22</xdr:row>
      <xdr:rowOff>130680</xdr:rowOff>
    </xdr:from>
    <xdr:to>
      <xdr:col>9</xdr:col>
      <xdr:colOff>683280</xdr:colOff>
      <xdr:row>35</xdr:row>
      <xdr:rowOff>172440</xdr:rowOff>
    </xdr:to>
    <xdr:graphicFrame>
      <xdr:nvGraphicFramePr>
        <xdr:cNvPr id="1" name="Chart 1"/>
        <xdr:cNvGraphicFramePr/>
      </xdr:nvGraphicFramePr>
      <xdr:xfrm>
        <a:off x="5262840" y="5198040"/>
        <a:ext cx="4677480" cy="255636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0</xdr:colOff>
      <xdr:row>22</xdr:row>
      <xdr:rowOff>130680</xdr:rowOff>
    </xdr:from>
    <xdr:to>
      <xdr:col>15</xdr:col>
      <xdr:colOff>493200</xdr:colOff>
      <xdr:row>35</xdr:row>
      <xdr:rowOff>172440</xdr:rowOff>
    </xdr:to>
    <xdr:graphicFrame>
      <xdr:nvGraphicFramePr>
        <xdr:cNvPr id="2" name="Chart 2"/>
        <xdr:cNvGraphicFramePr/>
      </xdr:nvGraphicFramePr>
      <xdr:xfrm>
        <a:off x="9257040" y="5198040"/>
        <a:ext cx="4675320" cy="255636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11</xdr:col>
      <xdr:colOff>0</xdr:colOff>
      <xdr:row>9</xdr:row>
      <xdr:rowOff>0</xdr:rowOff>
    </xdr:from>
    <xdr:to>
      <xdr:col>18</xdr:col>
      <xdr:colOff>163800</xdr:colOff>
      <xdr:row>24</xdr:row>
      <xdr:rowOff>21240</xdr:rowOff>
    </xdr:to>
    <xdr:graphicFrame>
      <xdr:nvGraphicFramePr>
        <xdr:cNvPr id="3" name="Chart 1"/>
        <xdr:cNvGraphicFramePr/>
      </xdr:nvGraphicFramePr>
      <xdr:xfrm>
        <a:off x="12170520" y="1876320"/>
        <a:ext cx="5755680" cy="287892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id="1" name="DecisionLogTbl" displayName="DecisionLogTbl" ref="A1:F2" headerRowCount="1" totalsRowCount="0" totalsRowShown="0">
  <autoFilter ref="A1:F2"/>
  <tableColumns count="6">
    <tableColumn id="1" name="Decision ID"/>
    <tableColumn id="2" name="Title"/>
    <tableColumn id="3" name="Summary"/>
    <tableColumn id="4" name="Status"/>
    <tableColumn id="5" name="Date"/>
    <tableColumn id="6" name="Reference"/>
  </tableColumns>
</table>
</file>

<file path=xl/tables/table2.xml><?xml version="1.0" encoding="utf-8"?>
<table xmlns="http://schemas.openxmlformats.org/spreadsheetml/2006/main" id="2" name="EpicsTable" displayName="EpicsTable" ref="A1:K23" headerRowCount="1" totalsRowCount="0" totalsRowShown="0">
  <autoFilter ref="A1:K23"/>
  <tableColumns count="11">
    <tableColumn id="1" name="Sr No"/>
    <tableColumn id="2" name="Milestone ID"/>
    <tableColumn id="3" name="Epic Code"/>
    <tableColumn id="4" name="Epic"/>
    <tableColumn id="5" name="Description"/>
    <tableColumn id="6" name="Owner"/>
    <tableColumn id="7" name="Start Date"/>
    <tableColumn id="8" name="Target Date"/>
    <tableColumn id="9" name="Actual Completion"/>
    <tableColumn id="10" name="Progress %"/>
    <tableColumn id="11" name="Status"/>
  </tableColumns>
</table>
</file>

<file path=xl/tables/table3.xml><?xml version="1.0" encoding="utf-8"?>
<table xmlns="http://schemas.openxmlformats.org/spreadsheetml/2006/main" id="3" name="ExpensesTbl" displayName="ExpensesTbl" ref="A1:J3" headerRowCount="1" totalsRowCount="0" totalsRowShown="0">
  <autoFilter ref="A1:J3"/>
  <tableColumns count="10">
    <tableColumn id="1" name="Expense ID"/>
    <tableColumn id="2" name="Date"/>
    <tableColumn id="3" name="Category"/>
    <tableColumn id="4" name="Description"/>
    <tableColumn id="5" name="Currency"/>
    <tableColumn id="6" name="Amount"/>
    <tableColumn id="7" name="Exchange Rate to AED"/>
    <tableColumn id="8" name="Amount (AED)"/>
    <tableColumn id="9" name="Payment Method"/>
    <tableColumn id="10" name="Notes"/>
  </tableColumns>
</table>
</file>

<file path=xl/tables/table4.xml><?xml version="1.0" encoding="utf-8"?>
<table xmlns="http://schemas.openxmlformats.org/spreadsheetml/2006/main" id="4" name="MilestonesTable" displayName="MilestonesTable" ref="A1:L16" headerRowCount="1" totalsRowCount="0" totalsRowShown="0">
  <autoFilter ref="A1:L16"/>
  <tableColumns count="12">
    <tableColumn id="1" name="Sr No"/>
    <tableColumn id="2" name="ID"/>
    <tableColumn id="3" name="Phase ID"/>
    <tableColumn id="4" name="Milestone"/>
    <tableColumn id="5" name="Description"/>
    <tableColumn id="6" name="Start Date"/>
    <tableColumn id="7" name="Target Date"/>
    <tableColumn id="8" name="Actual Completion"/>
    <tableColumn id="9" name="Owner"/>
    <tableColumn id="10" name="Progress %"/>
    <tableColumn id="11" name="Status"/>
    <tableColumn id="12" name="Hours Spent"/>
  </tableColumns>
</table>
</file>

<file path=xl/tables/table5.xml><?xml version="1.0" encoding="utf-8"?>
<table xmlns="http://schemas.openxmlformats.org/spreadsheetml/2006/main" id="5" name="PhaseTracker" displayName="PhaseTracker" ref="A1:F5" headerRowCount="1" totalsRowCount="0" totalsRowShown="0">
  <autoFilter ref="A1:F5"/>
  <tableColumns count="6">
    <tableColumn id="1" name="Phase ID"/>
    <tableColumn id="2" name="Phase"/>
    <tableColumn id="3" name="Description"/>
    <tableColumn id="4" name="Weight"/>
    <tableColumn id="5" name="Progress %"/>
    <tableColumn id="6" name="Status"/>
  </tableColumns>
</table>
</file>

<file path=xl/tables/table6.xml><?xml version="1.0" encoding="utf-8"?>
<table xmlns="http://schemas.openxmlformats.org/spreadsheetml/2006/main" id="6" name="ReleasesTbl" displayName="ReleasesTbl" ref="A1:H2" headerRowCount="1" totalsRowCount="0" totalsRowShown="0">
  <autoFilter ref="A1:H2"/>
  <tableColumns count="8">
    <tableColumn id="1" name="Release ID"/>
    <tableColumn id="2" name="Version"/>
    <tableColumn id="3" name="Release Name"/>
    <tableColumn id="4" name="Target Date"/>
    <tableColumn id="5" name="Actual Date"/>
    <tableColumn id="6" name="Milestones Included"/>
    <tableColumn id="7" name="Status"/>
    <tableColumn id="8" name="Notes"/>
  </tableColumns>
</table>
</file>

<file path=xl/tables/table7.xml><?xml version="1.0" encoding="utf-8"?>
<table xmlns="http://schemas.openxmlformats.org/spreadsheetml/2006/main" id="7" name="RisksTbl" displayName="RisksTbl" ref="A1:H2" headerRowCount="1" totalsRowCount="0" totalsRowShown="0">
  <autoFilter ref="A1:H2"/>
  <tableColumns count="8">
    <tableColumn id="1" name="Risk ID"/>
    <tableColumn id="2" name="Title"/>
    <tableColumn id="3" name="Description"/>
    <tableColumn id="4" name="Probability"/>
    <tableColumn id="5" name="Impact"/>
    <tableColumn id="6" name="Owner"/>
    <tableColumn id="7" name="Mitigation"/>
    <tableColumn id="8" name="Status"/>
  </tableColumns>
</table>
</file>

<file path=xl/tables/table8.xml><?xml version="1.0" encoding="utf-8"?>
<table xmlns="http://schemas.openxmlformats.org/spreadsheetml/2006/main" id="8" name="SprintEpicsTable" displayName="SprintEpicsTable" ref="A1:C23" headerRowCount="1" totalsRowCount="0" totalsRowShown="0">
  <autoFilter ref="A1:C23"/>
  <tableColumns count="3">
    <tableColumn id="1" name="Sprint ID"/>
    <tableColumn id="2" name="Epic Code"/>
    <tableColumn id="3" name="Milestone ID"/>
  </tableColumns>
</table>
</file>

<file path=xl/tables/table9.xml><?xml version="1.0" encoding="utf-8"?>
<table xmlns="http://schemas.openxmlformats.org/spreadsheetml/2006/main" id="9" name="SprintsTable" displayName="SprintsTable" ref="A1:M16" headerRowCount="1" totalsRowCount="0" totalsRowShown="0">
  <autoFilter ref="A1:M16"/>
  <tableColumns count="13">
    <tableColumn id="1" name="Sprint ID"/>
    <tableColumn id="2" name="Sprint"/>
    <tableColumn id="3" name="Theme"/>
    <tableColumn id="4" name="Goal"/>
    <tableColumn id="5" name="Start Date"/>
    <tableColumn id="6" name="End Date"/>
    <tableColumn id="7" name="Planned Stories"/>
    <tableColumn id="8" name="Completed Stories"/>
    <tableColumn id="9" name="Progress %"/>
    <tableColumn id="10" name="Status"/>
    <tableColumn id="11" name="Milestones"/>
    <tableColumn id="12" name="Phases"/>
    <tableColumn id="13" name="Summary Document"/>
  </tableColumns>
</table>
</file>

<file path=xl/tables/table10.xml><?xml version="1.0" encoding="utf-8"?>
<table xmlns="http://schemas.openxmlformats.org/spreadsheetml/2006/main" id="10" name="StoriesTable" displayName="StoriesTable" ref="A1:P47" headerRowCount="1" totalsRowCount="0" totalsRowShown="0">
  <autoFilter ref="A1:P47">
    <filterColumn colId="1">
      <filters>
        <filter val="SP02"/>
      </filters>
    </filterColumn>
  </autoFilter>
  <tableColumns count="16">
    <tableColumn id="1" name="Story ID"/>
    <tableColumn id="2" name="Sprint ID"/>
    <tableColumn id="3" name="Epic Code"/>
    <tableColumn id="4" name="Milestone ID"/>
    <tableColumn id="5" name="Phase ID"/>
    <tableColumn id="6" name="Title"/>
    <tableColumn id="7" name="Description"/>
    <tableColumn id="8" name="Acceptance Criteria"/>
    <tableColumn id="9" name="Priority"/>
    <tableColumn id="10" name="Estimate (Hours)"/>
    <tableColumn id="11" name="Actual Hours"/>
    <tableColumn id="12" name="Story Points"/>
    <tableColumn id="13" name="Status"/>
    <tableColumn id="14" name="Assignee"/>
    <tableColumn id="15" name="Depends On"/>
    <tableColumn id="16" name="Progress %"/>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pitchFamily="0" charset="1"/>
        <a:ea typeface="Calibri Light" pitchFamily="0" charset="1"/>
        <a:cs typeface="Calibri Light"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a:prstDash val="solid"/>
        </a:ln>
        <a:ln w="25400">
          <a:prstDash val="solid"/>
        </a:ln>
        <a:ln w="38100">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Project_Tracker_new.xlsx" TargetMode="External"/><Relationship Id="rId2" Type="http://schemas.openxmlformats.org/officeDocument/2006/relationships/hyperlink" Target="Project_Tracker_new.xlsx" TargetMode="External"/><Relationship Id="rId3" Type="http://schemas.openxmlformats.org/officeDocument/2006/relationships/hyperlink" Target="Project_Tracker_new.xlsx" TargetMode="External"/><Relationship Id="rId4" Type="http://schemas.openxmlformats.org/officeDocument/2006/relationships/hyperlink" Target="Project_Tracker_new.xlsx" TargetMode="External"/><Relationship Id="rId5" Type="http://schemas.openxmlformats.org/officeDocument/2006/relationships/hyperlink" Target="Project_Tracker_new.xlsx" TargetMode="External"/><Relationship Id="rId6" Type="http://schemas.openxmlformats.org/officeDocument/2006/relationships/hyperlink" Target="Project_Tracker_new.xlsx" TargetMode="External"/><Relationship Id="rId7" Type="http://schemas.openxmlformats.org/officeDocument/2006/relationships/hyperlink" Target="Project_Tracker_new.xlsx" TargetMode="External"/><Relationship Id="rId8" Type="http://schemas.openxmlformats.org/officeDocument/2006/relationships/hyperlink" Target="Project_Tracker_new.xlsx" TargetMode="External"/><Relationship Id="rId9"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table" Target="../tables/table5.xml"/>
</Relationships>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hyperlink" Target="Project_Tracker_new.xlsx" TargetMode="External"/><Relationship Id="rId3" Type="http://schemas.openxmlformats.org/officeDocument/2006/relationships/hyperlink" Target="Project_Tracker_new.xlsx" TargetMode="External"/><Relationship Id="rId4" Type="http://schemas.openxmlformats.org/officeDocument/2006/relationships/hyperlink" Target="Project_Tracker_new.xlsx" TargetMode="External"/><Relationship Id="rId5" Type="http://schemas.openxmlformats.org/officeDocument/2006/relationships/hyperlink" Target="Project_Tracker_new.xlsx" TargetMode="External"/><Relationship Id="rId6" Type="http://schemas.openxmlformats.org/officeDocument/2006/relationships/hyperlink" Target="Project_Tracker_new.xlsx" TargetMode="External"/><Relationship Id="rId7" Type="http://schemas.openxmlformats.org/officeDocument/2006/relationships/hyperlink" Target="Project_Tracker_new.xlsx" TargetMode="External"/><Relationship Id="rId8" Type="http://schemas.openxmlformats.org/officeDocument/2006/relationships/hyperlink" Target="Project_Tracker_new.xlsx" TargetMode="External"/><Relationship Id="rId9" Type="http://schemas.openxmlformats.org/officeDocument/2006/relationships/hyperlink" Target="Project_Tracker_new.xlsx" TargetMode="External"/><Relationship Id="rId10" Type="http://schemas.openxmlformats.org/officeDocument/2006/relationships/hyperlink" Target="Project_Tracker_new.xlsx" TargetMode="External"/><Relationship Id="rId11" Type="http://schemas.openxmlformats.org/officeDocument/2006/relationships/hyperlink" Target="Project_Tracker_new.xlsx" TargetMode="External"/><Relationship Id="rId12" Type="http://schemas.openxmlformats.org/officeDocument/2006/relationships/hyperlink" Target="Project_Tracker_new.xlsx" TargetMode="External"/><Relationship Id="rId13" Type="http://schemas.openxmlformats.org/officeDocument/2006/relationships/hyperlink" Target="Project_Tracker_new.xlsx" TargetMode="External"/><Relationship Id="rId14" Type="http://schemas.openxmlformats.org/officeDocument/2006/relationships/hyperlink" Target="Project_Tracker_new.xlsx" TargetMode="External"/><Relationship Id="rId15" Type="http://schemas.openxmlformats.org/officeDocument/2006/relationships/hyperlink" Target="Project_Tracker_new.xlsx" TargetMode="External"/><Relationship Id="rId16" Type="http://schemas.openxmlformats.org/officeDocument/2006/relationships/hyperlink" Target="Project_Tracker_new.xlsx" TargetMode="External"/><Relationship Id="rId17" Type="http://schemas.openxmlformats.org/officeDocument/2006/relationships/hyperlink" Target="Project_Tracker_new.xlsx" TargetMode="External"/><Relationship Id="rId18" Type="http://schemas.openxmlformats.org/officeDocument/2006/relationships/hyperlink" Target="Project_Tracker_new.xlsx" TargetMode="External"/><Relationship Id="rId19" Type="http://schemas.openxmlformats.org/officeDocument/2006/relationships/hyperlink" Target="Project_Tracker_new.xlsx" TargetMode="External"/><Relationship Id="rId20" Type="http://schemas.openxmlformats.org/officeDocument/2006/relationships/hyperlink" Target="Project_Tracker_new.xlsx" TargetMode="External"/><Relationship Id="rId21" Type="http://schemas.openxmlformats.org/officeDocument/2006/relationships/hyperlink" Target="Project_Tracker_new.xlsx" TargetMode="External"/><Relationship Id="rId22" Type="http://schemas.openxmlformats.org/officeDocument/2006/relationships/hyperlink" Target="Project_Tracker_new.xlsx" TargetMode="External"/><Relationship Id="rId23" Type="http://schemas.openxmlformats.org/officeDocument/2006/relationships/hyperlink" Target="Project_Tracker_new.xlsx" TargetMode="External"/><Relationship Id="rId24" Type="http://schemas.openxmlformats.org/officeDocument/2006/relationships/hyperlink" Target="Project_Tracker_new.xlsx" TargetMode="External"/><Relationship Id="rId25" Type="http://schemas.openxmlformats.org/officeDocument/2006/relationships/hyperlink" Target="Project_Tracker_new.xlsx" TargetMode="External"/><Relationship Id="rId26" Type="http://schemas.openxmlformats.org/officeDocument/2006/relationships/vmlDrawing" Target="../drawings/vmlDrawing1.vml"/><Relationship Id="rId27" Type="http://schemas.openxmlformats.org/officeDocument/2006/relationships/table" Target="../tables/table4.xml"/>
</Relationships>
</file>

<file path=xl/worksheets/_rels/sheet4.xml.rels><?xml version="1.0" encoding="UTF-8"?>
<Relationships xmlns="http://schemas.openxmlformats.org/package/2006/relationships"><Relationship Id="rId1" Type="http://schemas.openxmlformats.org/officeDocument/2006/relationships/table" Target="../tables/table2.xml"/>
</Relationships>
</file>

<file path=xl/worksheets/_rels/sheet5.xml.rels><?xml version="1.0" encoding="UTF-8"?>
<Relationships xmlns="http://schemas.openxmlformats.org/package/2006/relationships"><Relationship Id="rId1" Type="http://schemas.openxmlformats.org/officeDocument/2006/relationships/table" Target="../tables/table9.xml"/>
</Relationships>
</file>

<file path=xl/worksheets/_rels/sheet6.xml.rels><?xml version="1.0" encoding="UTF-8"?>
<Relationships xmlns="http://schemas.openxmlformats.org/package/2006/relationships"><Relationship Id="rId1" Type="http://schemas.openxmlformats.org/officeDocument/2006/relationships/table" Target="../tables/table8.xml"/>
</Relationships>
</file>

<file path=xl/worksheets/_rels/sheet7.xml.rels><?xml version="1.0" encoding="UTF-8"?>
<Relationships xmlns="http://schemas.openxmlformats.org/package/2006/relationships"><Relationship Id="rId1" Type="http://schemas.openxmlformats.org/officeDocument/2006/relationships/table" Target="../tables/table10.xml"/>
</Relationships>
</file>

<file path=xl/worksheets/_rels/sheet8.xml.rels><?xml version="1.0" encoding="UTF-8"?>
<Relationships xmlns="http://schemas.openxmlformats.org/package/2006/relationships"><Relationship Id="rId1" Type="http://schemas.openxmlformats.org/officeDocument/2006/relationships/table" Target="../tables/table6.xml"/>
</Relationships>
</file>

<file path=xl/worksheets/_rels/sheet9.xml.rels><?xml version="1.0" encoding="UTF-8"?>
<Relationships xmlns="http://schemas.openxmlformats.org/package/2006/relationships"><Relationship Id="rId1" Type="http://schemas.openxmlformats.org/officeDocument/2006/relationships/table" Target="../tables/table1.xml"/>
</Relationships>
</file>

<file path=xl/worksheets/_rels/sheet10.xml.rels><?xml version="1.0" encoding="UTF-8"?>
<Relationships xmlns="http://schemas.openxmlformats.org/package/2006/relationships"><Relationship Id="rId1" Type="http://schemas.openxmlformats.org/officeDocument/2006/relationships/table" Target="../tables/table7.xml"/>
</Relationships>
</file>

<file path=xl/worksheets/_rels/sheet12.xml.rels><?xml version="1.0" encoding="UTF-8"?>
<Relationships xmlns="http://schemas.openxmlformats.org/package/2006/relationships"><Relationship Id="rId1" Type="http://schemas.openxmlformats.org/officeDocument/2006/relationships/drawing" Target="../drawings/drawing2.xml"/><Relationship Id="rId2" Type="http://schemas.openxmlformats.org/officeDocument/2006/relationships/table" Target="../tables/table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6796875" defaultRowHeight="15" customHeight="false" zeroHeight="false" outlineLevelRow="0" outlineLevelCol="0"/>
  <cols>
    <col collapsed="false" customWidth="true" hidden="false" outlineLevel="0" max="1" min="1" style="0" width="22"/>
    <col collapsed="false" customWidth="true" hidden="false" outlineLevel="0" max="2" min="2" style="0" width="16"/>
    <col collapsed="false" customWidth="true" hidden="false" outlineLevel="0" max="3" min="3" style="0" width="12"/>
    <col collapsed="false" customWidth="true" hidden="false" outlineLevel="0" max="4" min="4" style="0" width="16"/>
    <col collapsed="false" customWidth="true" hidden="false" outlineLevel="0" max="7" min="6" style="0" width="16"/>
    <col collapsed="false" customWidth="true" hidden="false" outlineLevel="0" max="10" min="9" style="0" width="16"/>
  </cols>
  <sheetData>
    <row r="1" customFormat="false" ht="19.5" hidden="false" customHeight="true" outlineLevel="0" collapsed="false">
      <c r="A1" s="1" t="s">
        <v>0</v>
      </c>
    </row>
    <row r="2" customFormat="false" ht="15" hidden="false" customHeight="true" outlineLevel="0" collapsed="false">
      <c r="A2" s="2" t="s">
        <v>1</v>
      </c>
    </row>
    <row r="4" customFormat="false" ht="19.5" hidden="false" customHeight="true" outlineLevel="0" collapsed="false">
      <c r="A4" s="3" t="s">
        <v>2</v>
      </c>
      <c r="B4" s="3" t="s">
        <v>3</v>
      </c>
      <c r="C4" s="3" t="s">
        <v>4</v>
      </c>
      <c r="D4" s="3" t="s">
        <v>5</v>
      </c>
      <c r="E4" s="3" t="s">
        <v>6</v>
      </c>
      <c r="F4" s="3" t="s">
        <v>7</v>
      </c>
      <c r="G4" s="3" t="s">
        <v>8</v>
      </c>
      <c r="H4" s="3" t="s">
        <v>9</v>
      </c>
    </row>
    <row r="6" customFormat="false" ht="30" hidden="false" customHeight="true" outlineLevel="0" collapsed="false">
      <c r="A6" s="4" t="s">
        <v>10</v>
      </c>
      <c r="B6" s="4" t="s">
        <v>11</v>
      </c>
      <c r="C6" s="4" t="s">
        <v>12</v>
      </c>
      <c r="D6" s="4" t="s">
        <v>13</v>
      </c>
      <c r="F6" s="2" t="s">
        <v>14</v>
      </c>
      <c r="I6" s="2" t="s">
        <v>15</v>
      </c>
    </row>
    <row r="7" customFormat="false" ht="18" hidden="false" customHeight="true" outlineLevel="0" collapsed="false">
      <c r="A7" s="5" t="s">
        <v>16</v>
      </c>
      <c r="B7" s="6" t="n">
        <f aca="false">SUMPRODUCT('Phase Tracker'!$E$2:$E$7,'Phase Tracker'!$D$2:$D$7)</f>
        <v>0.594</v>
      </c>
      <c r="C7" s="6" t="n">
        <v>1</v>
      </c>
      <c r="D7" s="5" t="str">
        <f aca="false">IF(B7=1,"✅ Completed","🔄 In Progress")</f>
        <v>🔄 In Progress</v>
      </c>
      <c r="F7" s="0" t="s">
        <v>17</v>
      </c>
      <c r="G7" s="0" t="s">
        <v>18</v>
      </c>
      <c r="I7" s="0" t="s">
        <v>19</v>
      </c>
      <c r="J7" s="0" t="n">
        <v>28</v>
      </c>
    </row>
    <row r="8" customFormat="false" ht="18" hidden="false" customHeight="true" outlineLevel="0" collapsed="false">
      <c r="A8" s="5" t="s">
        <v>20</v>
      </c>
      <c r="B8" s="5" t="s">
        <v>21</v>
      </c>
      <c r="C8" s="5"/>
      <c r="D8" s="5"/>
      <c r="F8" s="0" t="str">
        <f aca="false">'Phase Tracker'!B2</f>
        <v>Platform Foundation</v>
      </c>
      <c r="G8" s="7" t="n">
        <f aca="false">'Phase Tracker'!E2</f>
        <v>1</v>
      </c>
      <c r="I8" s="0" t="s">
        <v>22</v>
      </c>
      <c r="J8" s="0" t="n">
        <v>0</v>
      </c>
    </row>
    <row r="9" customFormat="false" ht="18" hidden="false" customHeight="true" outlineLevel="0" collapsed="false">
      <c r="A9" s="5" t="s">
        <v>23</v>
      </c>
      <c r="B9" s="5" t="s">
        <v>87</v>
      </c>
      <c r="C9" s="5"/>
      <c r="D9" s="5"/>
      <c r="F9" s="0" t="str">
        <f aca="false">'Phase Tracker'!B3</f>
        <v>Feature Delivery (Vertical Slices)</v>
      </c>
      <c r="G9" s="7" t="n">
        <f aca="false">'Phase Tracker'!E3</f>
        <v>0.72</v>
      </c>
      <c r="I9" s="0" t="s">
        <v>25</v>
      </c>
      <c r="J9" s="0" t="n">
        <v>0</v>
      </c>
    </row>
    <row r="10" customFormat="false" ht="18" hidden="false" customHeight="true" outlineLevel="0" collapsed="false">
      <c r="A10" s="5" t="s">
        <v>26</v>
      </c>
      <c r="B10" s="5" t="s">
        <v>204</v>
      </c>
      <c r="C10" s="5"/>
      <c r="D10" s="5"/>
      <c r="F10" s="0" t="str">
        <f aca="false">'Phase Tracker'!B4</f>
        <v>Production Readiness</v>
      </c>
      <c r="G10" s="7" t="n">
        <f aca="false">'Phase Tracker'!E4</f>
        <v>0</v>
      </c>
      <c r="I10" s="0" t="s">
        <v>28</v>
      </c>
      <c r="J10" s="0" t="n">
        <v>18</v>
      </c>
    </row>
    <row r="11" customFormat="false" ht="18" hidden="false" customHeight="true" outlineLevel="0" collapsed="false">
      <c r="A11" s="5" t="s">
        <v>29</v>
      </c>
      <c r="B11" s="5" t="n">
        <v>1</v>
      </c>
      <c r="C11" s="5" t="n">
        <f aca="false">COUNTA('Phase Tracker'!$A$2:$A$7)</f>
        <v>4</v>
      </c>
      <c r="D11" s="5" t="str">
        <f aca="false">IF(B11=C11,"✅ Completed","🔄 In Progress")</f>
        <v>🔄 In Progress</v>
      </c>
      <c r="F11" s="0" t="str">
        <f aca="false">'Phase Tracker'!B5</f>
        <v>MVP Release</v>
      </c>
      <c r="G11" s="7" t="n">
        <f aca="false">'Phase Tracker'!E5</f>
        <v>0</v>
      </c>
    </row>
    <row r="12" customFormat="false" ht="18" hidden="false" customHeight="true" outlineLevel="0" collapsed="false">
      <c r="A12" s="5" t="s">
        <v>30</v>
      </c>
      <c r="B12" s="5" t="n">
        <v>9</v>
      </c>
      <c r="C12" s="5" t="n">
        <f aca="false">COUNTA(Milestones!$B$2:$B$25)</f>
        <v>24</v>
      </c>
      <c r="D12" s="5" t="str">
        <f aca="false">IF(B12=C12,"✅ Completed","🔄 In Progress")</f>
        <v>🔄 In Progress</v>
      </c>
      <c r="F12" s="0" t="n">
        <f aca="false">'Phase Tracker'!B6</f>
        <v>0</v>
      </c>
      <c r="G12" s="7" t="n">
        <f aca="false">'Phase Tracker'!E6</f>
        <v>0</v>
      </c>
    </row>
    <row r="13" customFormat="false" ht="18" hidden="false" customHeight="true" outlineLevel="0" collapsed="false">
      <c r="A13" s="5" t="s">
        <v>31</v>
      </c>
      <c r="B13" s="5" t="n">
        <v>16</v>
      </c>
      <c r="C13" s="5" t="n">
        <f aca="false">COUNTA(Epics!$C$2:C$100)</f>
        <v>23</v>
      </c>
      <c r="D13" s="5" t="str">
        <f aca="false">IF(B13=C13,"✅ Completed","🔄 In Progress")</f>
        <v>🔄 In Progress</v>
      </c>
      <c r="F13" s="0" t="n">
        <f aca="false">'Phase Tracker'!B7</f>
        <v>0</v>
      </c>
      <c r="G13" s="7" t="n">
        <f aca="false">'Phase Tracker'!E7</f>
        <v>0</v>
      </c>
    </row>
    <row r="14" customFormat="false" ht="18" hidden="false" customHeight="true" outlineLevel="0" collapsed="false">
      <c r="A14" s="5" t="s">
        <v>32</v>
      </c>
      <c r="B14" s="5" t="n">
        <v>37</v>
      </c>
      <c r="C14" s="5" t="n">
        <f aca="false">B15</f>
        <v>47</v>
      </c>
      <c r="D14" s="5" t="str">
        <f aca="false">IF(B14=C14,"✅ Completed","🔄 In Progress")</f>
        <v>🔄 In Progress</v>
      </c>
    </row>
    <row r="15" customFormat="false" ht="18" hidden="false" customHeight="true" outlineLevel="0" collapsed="false">
      <c r="A15" s="5" t="s">
        <v>33</v>
      </c>
      <c r="B15" s="5" t="n">
        <f aca="false">COUNTA(Stories!$A$2:A$200)</f>
        <v>47</v>
      </c>
      <c r="C15" s="5"/>
      <c r="D15" s="5"/>
    </row>
    <row r="16" customFormat="false" ht="18" hidden="false" customHeight="true" outlineLevel="0" collapsed="false">
      <c r="A16" s="5" t="s">
        <v>34</v>
      </c>
      <c r="B16" s="5" t="str">
        <f aca="false">Releases!$B$2&amp;" – "&amp;Releases!$C$2&amp;" ("&amp;Releases!$G$2&amp;")"</f>
        <v>v1.0 – AI Marketplace MVP Release (Planned)</v>
      </c>
      <c r="C16" s="5"/>
      <c r="D16" s="5"/>
    </row>
    <row r="17" customFormat="false" ht="18" hidden="false" customHeight="true" outlineLevel="0" collapsed="false">
      <c r="A17" s="5" t="s">
        <v>35</v>
      </c>
      <c r="B17" s="5" t="str">
        <f aca="false">IF(SUM(COUNTIF('Phase Tracker'!$F$2:$F$7,"*Blocked*"),COUNTIF(Milestones!$K$2:$K$25,"*Blocked*"),COUNTIF(Epics!$K$2:K$100,"*Blocked*"),COUNTIF(Sprints!$J$2:$J$26,"*Blocked*"),COUNTIF(Stories!$M$2:M$200,"*Blocked*"))&gt;0,"🔴 At Risk",IF(B7=1,"🟢 Complete","🟢 On Track"))</f>
        <v>🟢 On Track</v>
      </c>
      <c r="C17" s="5"/>
      <c r="D17" s="5"/>
    </row>
    <row r="18" customFormat="false" ht="18" hidden="false" customHeight="true" outlineLevel="0" collapsed="false">
      <c r="A18" s="5" t="s">
        <v>36</v>
      </c>
      <c r="B18" s="5" t="s">
        <v>207</v>
      </c>
      <c r="C18" s="5"/>
      <c r="D18" s="5"/>
    </row>
    <row r="19" customFormat="false" ht="18" hidden="false" customHeight="true" outlineLevel="0" collapsed="false">
      <c r="A19" s="5" t="s">
        <v>38</v>
      </c>
      <c r="B19" s="5" t="n">
        <f aca="false">COUNTIF(Stories!$M$2:M$200,"*Blocked*")</f>
        <v>0</v>
      </c>
      <c r="C19" s="5" t="n">
        <v>0</v>
      </c>
      <c r="D19" s="5" t="str">
        <f aca="false">IF(B19=0,"✅ Good","🚫 Blocked")</f>
        <v>✅ Good</v>
      </c>
    </row>
    <row r="20" customFormat="false" ht="18" hidden="false" customHeight="true" outlineLevel="0" collapsed="false">
      <c r="A20" s="5" t="s">
        <v>39</v>
      </c>
      <c r="B20" s="5" t="n">
        <f aca="false">COUNTIF(Risks!$H$2:$H$200,"Open")</f>
        <v>0</v>
      </c>
      <c r="C20" s="5" t="n">
        <v>0</v>
      </c>
      <c r="D20" s="5" t="str">
        <f aca="false">IF(B20=0,"✅ Good","🔴 At Risk")</f>
        <v>✅ Good</v>
      </c>
    </row>
    <row r="21" customFormat="false" ht="18" hidden="false" customHeight="true" outlineLevel="0" collapsed="false">
      <c r="A21" s="5" t="s">
        <v>40</v>
      </c>
      <c r="B21" s="6" t="n">
        <f aca="false">B7</f>
        <v>0.568</v>
      </c>
      <c r="C21" s="6" t="n">
        <v>1</v>
      </c>
      <c r="D21" s="5" t="str">
        <f aca="false">IF(B21=1,"✅ Completed","🔄 In Progress")</f>
        <v>🔄 In Progress</v>
      </c>
    </row>
    <row r="24" customFormat="false" ht="18" hidden="false" customHeight="true" outlineLevel="0" collapsed="false">
      <c r="A24" s="8" t="s">
        <v>41</v>
      </c>
      <c r="B24" s="9" t="n">
        <f aca="false">Expenses!H5</f>
        <v>134.633</v>
      </c>
    </row>
  </sheetData>
  <conditionalFormatting sqref="D7:D21">
    <cfRule type="expression" priority="2" aboveAverage="0" equalAverage="0" bottom="0" percent="0" rank="0" text="" dxfId="0">
      <formula>ISNUMBER(SEARCH("Completed",D7))</formula>
    </cfRule>
    <cfRule type="expression" priority="3" aboveAverage="0" equalAverage="0" bottom="0" percent="0" rank="0" text="" dxfId="0">
      <formula>ISNUMBER(SEARCH("Done",D7))</formula>
    </cfRule>
    <cfRule type="expression" priority="4" aboveAverage="0" equalAverage="0" bottom="0" percent="0" rank="0" text="" dxfId="1">
      <formula>ISNUMBER(SEARCH("Progress",D7))</formula>
    </cfRule>
    <cfRule type="expression" priority="5" aboveAverage="0" equalAverage="0" bottom="0" percent="0" rank="0" text="" dxfId="2">
      <formula>ISNUMBER(SEARCH("Blocked",D7))</formula>
    </cfRule>
    <cfRule type="expression" priority="6" aboveAverage="0" equalAverage="0" bottom="0" percent="0" rank="0" text="" dxfId="3">
      <formula>ISNUMBER(SEARCH("Planned",D7))</formula>
    </cfRule>
    <cfRule type="expression" priority="7" aboveAverage="0" equalAverage="0" bottom="0" percent="0" rank="0" text="" dxfId="3">
      <formula>ISNUMBER(SEARCH("Not Started",D7))</formula>
    </cfRule>
  </conditionalFormatting>
  <conditionalFormatting sqref="B7">
    <cfRule type="dataBar" priority="8">
      <dataBar showValue="1" minLength="10" maxLength="90">
        <cfvo type="num" val="0"/>
        <cfvo type="num" val="1"/>
        <color rgb="FF638EC6"/>
      </dataBar>
      <extLst>
        <ext xmlns:x14="http://schemas.microsoft.com/office/spreadsheetml/2009/9/main" uri="{B025F937-C7B1-47D3-B67F-A62EFF666E3E}">
          <x14:id>{7637FFDA-BEC6-475E-8594-45E3E591952E}</x14:id>
        </ext>
      </extLst>
    </cfRule>
    <cfRule type="dataBar" priority="9">
      <dataBar showValue="1" minLength="10" maxLength="90">
        <cfvo type="num" val="0"/>
        <cfvo type="num" val="1"/>
        <color rgb="FF638EC6"/>
      </dataBar>
      <extLst>
        <ext xmlns:x14="http://schemas.microsoft.com/office/spreadsheetml/2009/9/main" uri="{B025F937-C7B1-47D3-B67F-A62EFF666E3E}">
          <x14:id>{38EFD077-7B57-4DD7-9F19-4CB454E7C02D}</x14:id>
        </ext>
      </extLst>
    </cfRule>
  </conditionalFormatting>
  <conditionalFormatting sqref="B21">
    <cfRule type="dataBar" priority="10">
      <dataBar showValue="1" minLength="10" maxLength="90">
        <cfvo type="num" val="0"/>
        <cfvo type="num" val="1"/>
        <color rgb="FF638EC6"/>
      </dataBar>
      <extLst>
        <ext xmlns:x14="http://schemas.microsoft.com/office/spreadsheetml/2009/9/main" uri="{B025F937-C7B1-47D3-B67F-A62EFF666E3E}">
          <x14:id>{1325EF45-ABE2-417E-A2C0-97C165BD1EAC}</x14:id>
        </ext>
      </extLst>
    </cfRule>
    <cfRule type="dataBar" priority="11">
      <dataBar showValue="1" minLength="10" maxLength="90">
        <cfvo type="num" val="0"/>
        <cfvo type="num" val="1"/>
        <color rgb="FF638EC6"/>
      </dataBar>
      <extLst>
        <ext xmlns:x14="http://schemas.microsoft.com/office/spreadsheetml/2009/9/main" uri="{B025F937-C7B1-47D3-B67F-A62EFF666E3E}">
          <x14:id>{20CA72C5-3237-48AC-A08E-41F8DCC5F4A7}</x14:id>
        </ext>
      </extLst>
    </cfRule>
  </conditionalFormatting>
  <conditionalFormatting sqref="B17">
    <cfRule type="expression" priority="12" aboveAverage="0" equalAverage="0" bottom="0" percent="0" rank="0" text="" dxfId="4">
      <formula>ISNUMBER(SEARCH("At Risk",D17))</formula>
    </cfRule>
  </conditionalFormatting>
  <hyperlinks>
    <hyperlink ref="A4" r:id="rId1" display="→ Phase Tracker"/>
    <hyperlink ref="B4" r:id="rId2" display="→ Milestones"/>
    <hyperlink ref="C4" r:id="rId3" display="→ Epics"/>
    <hyperlink ref="D4" r:id="rId4" display="→ Sprints"/>
    <hyperlink ref="E4" r:id="rId5" display="→ Stories"/>
    <hyperlink ref="F4" r:id="rId6" display="→ Releases"/>
    <hyperlink ref="G4" r:id="rId7" display="→ Risks"/>
    <hyperlink ref="H4" r:id="rId8" display="→ Decision_Log"/>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9"/>
  <extLst>
    <ext xmlns:x14="http://schemas.microsoft.com/office/spreadsheetml/2009/9/main" uri="{78C0D931-6437-407d-A8EE-F0AAD7539E65}">
      <x14:conditionalFormattings>
        <x14:conditionalFormatting xmlns:xm="http://schemas.microsoft.com/office/excel/2006/main">
          <x14:cfRule type="dataBar" id="{7637FFDA-BEC6-475E-8594-45E3E591952E}">
            <x14:dataBar minLength="10" maxLength="90" axisPosition="none" gradient="true">
              <x14:cfvo type="num">
                <xm:f>0</xm:f>
              </x14:cfvo>
              <x14:cfvo type="num">
                <xm:f>1</xm:f>
              </x14:cfvo>
              <x14:negativeFillColor rgb="FF638EC6"/>
              <x14:axisColor rgb="FF000000"/>
            </x14:dataBar>
          </x14:cfRule>
          <x14:cfRule type="dataBar" id="{38EFD077-7B57-4DD7-9F19-4CB454E7C02D}">
            <x14:dataBar minLength="10" maxLength="90" axisPosition="none" gradient="true">
              <x14:cfvo type="num">
                <xm:f>0</xm:f>
              </x14:cfvo>
              <x14:cfvo type="num">
                <xm:f>1</xm:f>
              </x14:cfvo>
              <x14:negativeFillColor rgb="FF638EC6"/>
              <x14:axisColor rgb="FF000000"/>
            </x14:dataBar>
          </x14:cfRule>
          <xm:sqref>B7</xm:sqref>
        </x14:conditionalFormatting>
        <x14:conditionalFormatting xmlns:xm="http://schemas.microsoft.com/office/excel/2006/main">
          <x14:cfRule type="dataBar" id="{1325EF45-ABE2-417E-A2C0-97C165BD1EAC}">
            <x14:dataBar minLength="10" maxLength="90" axisPosition="none" gradient="true">
              <x14:cfvo type="num">
                <xm:f>0</xm:f>
              </x14:cfvo>
              <x14:cfvo type="num">
                <xm:f>1</xm:f>
              </x14:cfvo>
              <x14:negativeFillColor rgb="FF638EC6"/>
              <x14:axisColor rgb="FF000000"/>
            </x14:dataBar>
          </x14:cfRule>
          <x14:cfRule type="dataBar" id="{20CA72C5-3237-48AC-A08E-41F8DCC5F4A7}">
            <x14:dataBar minLength="10" maxLength="90" axisPosition="none" gradient="true">
              <x14:cfvo type="num">
                <xm:f>0</xm:f>
              </x14:cfvo>
              <x14:cfvo type="num">
                <xm:f>1</xm:f>
              </x14:cfvo>
              <x14:negativeFillColor rgb="FF638EC6"/>
              <x14:axisColor rgb="FF000000"/>
            </x14:dataBar>
          </x14:cfRule>
          <xm:sqref>B21</xm:sqref>
        </x14:conditionalFormatting>
      </x14:conditionalFormatting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6796875" defaultRowHeight="15" customHeight="false" zeroHeight="false" outlineLevelRow="0" outlineLevelCol="0"/>
  <cols>
    <col collapsed="false" customWidth="true" hidden="false" outlineLevel="0" max="1" min="1" style="0" width="10"/>
    <col collapsed="false" customWidth="true" hidden="false" outlineLevel="0" max="2" min="2" style="0" width="26"/>
    <col collapsed="false" customWidth="true" hidden="false" outlineLevel="0" max="3" min="3" style="0" width="60"/>
    <col collapsed="false" customWidth="true" hidden="false" outlineLevel="0" max="4" min="4" style="0" width="10"/>
    <col collapsed="false" customWidth="true" hidden="false" outlineLevel="0" max="5" min="5" style="0" width="12"/>
    <col collapsed="false" customWidth="true" hidden="false" outlineLevel="0" max="6" min="6" style="0" width="16"/>
  </cols>
  <sheetData>
    <row r="1" customFormat="false" ht="15" hidden="false" customHeight="true" outlineLevel="0" collapsed="false">
      <c r="A1" s="4" t="s">
        <v>42</v>
      </c>
      <c r="B1" s="4" t="s">
        <v>17</v>
      </c>
      <c r="C1" s="4" t="s">
        <v>43</v>
      </c>
      <c r="D1" s="4" t="s">
        <v>44</v>
      </c>
      <c r="E1" s="4" t="s">
        <v>18</v>
      </c>
      <c r="F1" s="4" t="s">
        <v>13</v>
      </c>
    </row>
    <row r="2" customFormat="false" ht="26.25" hidden="false" customHeight="true" outlineLevel="0" collapsed="false">
      <c r="A2" s="10" t="s">
        <v>45</v>
      </c>
      <c r="B2" s="10" t="s">
        <v>46</v>
      </c>
      <c r="C2" s="10" t="s">
        <v>47</v>
      </c>
      <c r="D2" s="10" t="n">
        <v>0.1</v>
      </c>
      <c r="E2" s="11" t="n">
        <f aca="false">IFERROR(SUMPRODUCT((Stories!$E$2:$E$200=A2)*(Stories!$P$2:$P$200))/COUNTIF(Stories!$E$2:$E$200,A2),0)</f>
        <v>1</v>
      </c>
      <c r="F2" s="11" t="str">
        <f aca="false">IF(E2=1,"✅ Completed",IF(E2&gt;0,"🔄 In Progress","⏳ Planned"))</f>
        <v>✅ Completed</v>
      </c>
    </row>
    <row r="3" customFormat="false" ht="26.25" hidden="false" customHeight="true" outlineLevel="0" collapsed="false">
      <c r="A3" s="10" t="s">
        <v>21</v>
      </c>
      <c r="B3" s="10" t="s">
        <v>48</v>
      </c>
      <c r="C3" s="10" t="s">
        <v>49</v>
      </c>
      <c r="D3" s="10" t="n">
        <v>0.65</v>
      </c>
      <c r="E3" s="11" t="n">
        <f aca="false">IFERROR(SUMPRODUCT((Stories!$E$2:$E$200=A3)*(Stories!$P$2:$P$200))/COUNTIF(Stories!$E$2:$E$200,A3),0)</f>
        <v>0.76</v>
      </c>
      <c r="F3" s="11" t="str">
        <f aca="false">IF(E3=1,"✅ Completed",IF(E3&gt;0,"🔄 In Progress","⏳ Planned"))</f>
        <v>🔄 In Progress</v>
      </c>
    </row>
    <row r="4" customFormat="false" ht="26.25" hidden="false" customHeight="true" outlineLevel="0" collapsed="false">
      <c r="A4" s="10" t="s">
        <v>50</v>
      </c>
      <c r="B4" s="10" t="s">
        <v>51</v>
      </c>
      <c r="C4" s="10" t="s">
        <v>52</v>
      </c>
      <c r="D4" s="10" t="n">
        <v>0.2</v>
      </c>
      <c r="E4" s="11" t="n">
        <f aca="false">IFERROR(SUMPRODUCT((Stories!$E$2:$E$200=A4)*(Stories!$P$2:$P$200))/COUNTIF(Stories!$E$2:$E$200,A4),0)</f>
        <v>0</v>
      </c>
      <c r="F4" s="11" t="str">
        <f aca="false">IF(E4=1,"✅ Completed",IF(E4&gt;0,"🔄 In Progress","⏳ Planned"))</f>
        <v>⏳ Planned</v>
      </c>
    </row>
    <row r="5" customFormat="false" ht="15" hidden="false" customHeight="true" outlineLevel="0" collapsed="false">
      <c r="A5" s="10" t="s">
        <v>53</v>
      </c>
      <c r="B5" s="10" t="s">
        <v>54</v>
      </c>
      <c r="C5" s="10" t="s">
        <v>55</v>
      </c>
      <c r="D5" s="10" t="n">
        <v>0.05</v>
      </c>
      <c r="E5" s="11" t="n">
        <f aca="false">IFERROR(SUMPRODUCT((Stories!$E$2:$E$200=A5)*(Stories!$P$2:$P$200))/COUNTIF(Stories!$E$2:$E$200,A5),0)</f>
        <v>0</v>
      </c>
      <c r="F5" s="11" t="str">
        <f aca="false">IF(E5=1,"✅ Completed",IF(E5&gt;0,"🔄 In Progress","⏳ Planned"))</f>
        <v>⏳ Planned</v>
      </c>
    </row>
    <row r="6" customFormat="false" ht="15" hidden="false" customHeight="true" outlineLevel="0" collapsed="false">
      <c r="A6" s="10"/>
      <c r="B6" s="10"/>
      <c r="C6" s="10"/>
      <c r="D6" s="10"/>
      <c r="E6" s="11"/>
      <c r="F6" s="11"/>
    </row>
    <row r="7" customFormat="false" ht="15" hidden="false" customHeight="true" outlineLevel="0" collapsed="false">
      <c r="A7" s="10"/>
      <c r="B7" s="10"/>
      <c r="C7" s="10"/>
      <c r="D7" s="10"/>
      <c r="E7" s="11"/>
      <c r="F7" s="11"/>
    </row>
  </sheetData>
  <conditionalFormatting sqref="F2:F7">
    <cfRule type="expression" priority="2" aboveAverage="0" equalAverage="0" bottom="0" percent="0" rank="0" text="" dxfId="0">
      <formula>ISNUMBER(SEARCH("Completed",F2))</formula>
    </cfRule>
    <cfRule type="expression" priority="3" aboveAverage="0" equalAverage="0" bottom="0" percent="0" rank="0" text="" dxfId="0">
      <formula>ISNUMBER(SEARCH("Done",F2))</formula>
    </cfRule>
    <cfRule type="expression" priority="4" aboveAverage="0" equalAverage="0" bottom="0" percent="0" rank="0" text="" dxfId="1">
      <formula>ISNUMBER(SEARCH("Progress",F2))</formula>
    </cfRule>
    <cfRule type="expression" priority="5" aboveAverage="0" equalAverage="0" bottom="0" percent="0" rank="0" text="" dxfId="2">
      <formula>ISNUMBER(SEARCH("Blocked",F2))</formula>
    </cfRule>
    <cfRule type="expression" priority="6" aboveAverage="0" equalAverage="0" bottom="0" percent="0" rank="0" text="" dxfId="3">
      <formula>ISNUMBER(SEARCH("Planned",F2))</formula>
    </cfRule>
    <cfRule type="expression" priority="7" aboveAverage="0" equalAverage="0" bottom="0" percent="0" rank="0" text="" dxfId="3">
      <formula>ISNUMBER(SEARCH("Not Started",F2))</formula>
    </cfRule>
  </conditionalFormatting>
  <conditionalFormatting sqref="E2:E7">
    <cfRule type="dataBar" priority="8">
      <dataBar showValue="1" minLength="10" maxLength="90">
        <cfvo type="num" val="0"/>
        <cfvo type="num" val="100"/>
        <color rgb="FF638EC6"/>
      </dataBar>
      <extLst>
        <ext xmlns:x14="http://schemas.microsoft.com/office/spreadsheetml/2009/9/main" uri="{B025F937-C7B1-47D3-B67F-A62EFF666E3E}">
          <x14:id>{55FE14D9-4DF1-4AA9-8FC3-BC1C70DC59D8}</x14:id>
        </ext>
      </extLst>
    </cfRule>
    <cfRule type="dataBar" priority="9">
      <dataBar showValue="1" minLength="10" maxLength="90">
        <cfvo type="num" val="0"/>
        <cfvo type="num" val="100"/>
        <color rgb="FF638EC6"/>
      </dataBar>
      <extLst>
        <ext xmlns:x14="http://schemas.microsoft.com/office/spreadsheetml/2009/9/main" uri="{B025F937-C7B1-47D3-B67F-A62EFF666E3E}">
          <x14:id>{95E68487-DE6C-427E-86E9-BBFD9F3E7ABF}</x14:id>
        </ext>
      </extLst>
    </cfRule>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extLst>
    <ext xmlns:x14="http://schemas.microsoft.com/office/spreadsheetml/2009/9/main" uri="{78C0D931-6437-407d-A8EE-F0AAD7539E65}">
      <x14:conditionalFormattings>
        <x14:conditionalFormatting xmlns:xm="http://schemas.microsoft.com/office/excel/2006/main">
          <x14:cfRule type="dataBar" id="{55FE14D9-4DF1-4AA9-8FC3-BC1C70DC59D8}">
            <x14:dataBar minLength="10" maxLength="90" axisPosition="none" gradient="true">
              <x14:cfvo type="num">
                <xm:f>0</xm:f>
              </x14:cfvo>
              <x14:cfvo type="num">
                <xm:f>100</xm:f>
              </x14:cfvo>
              <x14:negativeFillColor rgb="FF638EC6"/>
              <x14:axisColor rgb="FF000000"/>
            </x14:dataBar>
          </x14:cfRule>
          <x14:cfRule type="dataBar" id="{95E68487-DE6C-427E-86E9-BBFD9F3E7ABF}">
            <x14:dataBar minLength="10" maxLength="90" axisPosition="none" gradient="true">
              <x14:cfvo type="num">
                <xm:f>0</xm:f>
              </x14:cfvo>
              <x14:cfvo type="num">
                <xm:f>100</xm:f>
              </x14:cfvo>
              <x14:negativeFillColor rgb="FF638EC6"/>
              <x14:axisColor rgb="FF000000"/>
            </x14:dataBar>
          </x14:cfRule>
          <xm:sqref>E2:E7</xm:sqref>
        </x14:conditionalFormatting>
      </x14:conditionalFormatting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6796875" defaultRowHeight="15" customHeight="false" zeroHeight="false" outlineLevelRow="0" outlineLevelCol="0"/>
  <cols>
    <col collapsed="false" customWidth="true" hidden="false" outlineLevel="0" max="1" min="1" style="0" width="7"/>
    <col collapsed="false" customWidth="true" hidden="false" outlineLevel="0" max="2" min="2" style="0" width="8"/>
    <col collapsed="false" customWidth="true" hidden="false" outlineLevel="0" max="3" min="3" style="0" width="10"/>
    <col collapsed="false" customWidth="true" hidden="false" outlineLevel="0" max="4" min="4" style="0" width="30"/>
    <col collapsed="false" customWidth="true" hidden="false" outlineLevel="0" max="5" min="5" style="0" width="60"/>
    <col collapsed="false" customWidth="true" hidden="false" outlineLevel="0" max="7" min="6" style="0" width="13"/>
    <col collapsed="false" customWidth="true" hidden="false" outlineLevel="0" max="8" min="8" style="0" width="15"/>
    <col collapsed="false" customWidth="true" hidden="false" outlineLevel="0" max="9" min="9" style="0" width="10"/>
    <col collapsed="false" customWidth="true" hidden="false" outlineLevel="0" max="10" min="10" style="0" width="12"/>
    <col collapsed="false" customWidth="true" hidden="false" outlineLevel="0" max="11" min="11" style="0" width="16"/>
    <col collapsed="false" customWidth="true" hidden="false" outlineLevel="0" max="12" min="12" style="0" width="12"/>
  </cols>
  <sheetData>
    <row r="1" customFormat="false" ht="15" hidden="false" customHeight="true" outlineLevel="0" collapsed="false">
      <c r="A1" s="4" t="s">
        <v>56</v>
      </c>
      <c r="B1" s="4" t="s">
        <v>57</v>
      </c>
      <c r="C1" s="4" t="s">
        <v>42</v>
      </c>
      <c r="D1" s="4" t="s">
        <v>58</v>
      </c>
      <c r="E1" s="4" t="s">
        <v>43</v>
      </c>
      <c r="F1" s="4" t="s">
        <v>59</v>
      </c>
      <c r="G1" s="4" t="s">
        <v>60</v>
      </c>
      <c r="H1" s="4" t="s">
        <v>61</v>
      </c>
      <c r="I1" s="4" t="s">
        <v>62</v>
      </c>
      <c r="J1" s="4" t="s">
        <v>18</v>
      </c>
      <c r="K1" s="4" t="s">
        <v>13</v>
      </c>
      <c r="L1" s="4" t="s">
        <v>63</v>
      </c>
    </row>
    <row r="2" customFormat="false" ht="24" hidden="false" customHeight="true" outlineLevel="0" collapsed="false">
      <c r="A2" s="12" t="n">
        <v>1</v>
      </c>
      <c r="B2" s="13" t="s">
        <v>64</v>
      </c>
      <c r="C2" s="12" t="s">
        <v>45</v>
      </c>
      <c r="D2" s="12" t="s">
        <v>65</v>
      </c>
      <c r="E2" s="12" t="s">
        <v>66</v>
      </c>
      <c r="F2" s="14"/>
      <c r="G2" s="14"/>
      <c r="H2" s="14"/>
      <c r="I2" s="12"/>
      <c r="J2" s="15" t="n">
        <f aca="false">IFERROR(SUMPRODUCT((Stories!$D$2:$D$200=B2)*(Stories!$P$2:$P$200))/COUNTIF(Stories!$D$2:$D$200,B2),0)</f>
        <v>1</v>
      </c>
      <c r="K2" s="12" t="str">
        <f aca="false">IF(COUNTIFS(Epics!$B$2:$B$100,B2,Epics!$K$2:$K$100,"*Blocked*")&gt;0,"🚫 Blocked",IF(J2=1,"✅ Completed",IF(J2&gt;0,"🔄 In Progress","⏳ Planned")))</f>
        <v>✅ Completed</v>
      </c>
      <c r="L2" s="12" t="n">
        <v>17</v>
      </c>
    </row>
    <row r="3" customFormat="false" ht="24" hidden="false" customHeight="true" outlineLevel="0" collapsed="false">
      <c r="A3" s="12" t="n">
        <v>2</v>
      </c>
      <c r="B3" s="13" t="s">
        <v>24</v>
      </c>
      <c r="C3" s="12" t="s">
        <v>21</v>
      </c>
      <c r="D3" s="12" t="s">
        <v>67</v>
      </c>
      <c r="E3" s="12" t="s">
        <v>68</v>
      </c>
      <c r="F3" s="14"/>
      <c r="G3" s="14"/>
      <c r="H3" s="14"/>
      <c r="I3" s="12"/>
      <c r="J3" s="15" t="n">
        <f aca="false">IFERROR(SUMPRODUCT((Stories!$D$2:$D$200=B3)*(Stories!$P$2:$P$200))/COUNTIF(Stories!$D$2:$D$200,B3),0)</f>
        <v>1</v>
      </c>
      <c r="K3" s="12" t="str">
        <f aca="false">IF(COUNTIFS(Epics!$B$2:$B$100,B3,Epics!$K$2:$K$100,"*Blocked*")&gt;0,"🚫 Blocked",IF(J3=1,"✅ Completed",IF(J3&gt;0,"🔄 In Progress","⏳ Planned")))</f>
        <v>✅ Completed</v>
      </c>
      <c r="L3" s="12" t="n">
        <v>0</v>
      </c>
    </row>
    <row r="4" customFormat="false" ht="15" hidden="false" customHeight="true" outlineLevel="0" collapsed="false">
      <c r="A4" s="12" t="n">
        <v>3</v>
      </c>
      <c r="B4" s="13" t="s">
        <v>69</v>
      </c>
      <c r="C4" s="12" t="s">
        <v>21</v>
      </c>
      <c r="D4" s="12" t="s">
        <v>70</v>
      </c>
      <c r="E4" s="12" t="s">
        <v>71</v>
      </c>
      <c r="F4" s="14"/>
      <c r="G4" s="14"/>
      <c r="H4" s="14"/>
      <c r="I4" s="12"/>
      <c r="J4" s="15" t="n">
        <f aca="false">IFERROR(SUMPRODUCT((Stories!$D$2:$D$200=B4)*(Stories!$P$2:$P$200))/COUNTIF(Stories!$D$2:$D$200,B4),0)</f>
        <v>1</v>
      </c>
      <c r="K4" s="12" t="str">
        <f aca="false">IF(COUNTIFS(Epics!$B$2:$B$100,B4,Epics!$K$2:$K$100,"*Blocked*")&gt;0,"🚫 Blocked",IF(J4=1,"✅ Completed",IF(J4&gt;0,"🔄 In Progress","⏳ Planned")))</f>
        <v>✅ Completed</v>
      </c>
      <c r="L4" s="12" t="n">
        <v>0</v>
      </c>
    </row>
    <row r="5" customFormat="false" ht="15" hidden="false" customHeight="true" outlineLevel="0" collapsed="false">
      <c r="A5" s="12" t="n">
        <v>4</v>
      </c>
      <c r="B5" s="13" t="s">
        <v>72</v>
      </c>
      <c r="C5" s="12" t="s">
        <v>21</v>
      </c>
      <c r="D5" s="12" t="s">
        <v>73</v>
      </c>
      <c r="E5" s="12" t="s">
        <v>74</v>
      </c>
      <c r="F5" s="14"/>
      <c r="G5" s="14"/>
      <c r="H5" s="14"/>
      <c r="I5" s="12"/>
      <c r="J5" s="15" t="n">
        <f aca="false">IFERROR(SUMPRODUCT((Stories!$D$2:$D$200=B5)*(Stories!$P$2:$P$200))/COUNTIF(Stories!$D$2:$D$200,B5),0)</f>
        <v>1</v>
      </c>
      <c r="K5" s="12" t="str">
        <f aca="false">IF(COUNTIFS(Epics!$B$2:$B$100,B5,Epics!$K$2:$K$100,"*Blocked*")&gt;0,"🚫 Blocked",IF(J5=1,"✅ Completed",IF(J5&gt;0,"🔄 In Progress","⏳ Planned")))</f>
        <v>✅ Completed</v>
      </c>
      <c r="L5" s="12" t="n">
        <v>0</v>
      </c>
    </row>
    <row r="6" customFormat="false" ht="15" hidden="false" customHeight="true" outlineLevel="0" collapsed="false">
      <c r="A6" s="12" t="n">
        <v>5</v>
      </c>
      <c r="B6" s="13" t="s">
        <v>75</v>
      </c>
      <c r="C6" s="12" t="s">
        <v>21</v>
      </c>
      <c r="D6" s="12" t="s">
        <v>76</v>
      </c>
      <c r="E6" s="12" t="s">
        <v>77</v>
      </c>
      <c r="F6" s="14"/>
      <c r="G6" s="14"/>
      <c r="H6" s="14"/>
      <c r="I6" s="12"/>
      <c r="J6" s="15" t="n">
        <f aca="false">IFERROR(SUMPRODUCT((Stories!$D$2:$D$200=B6)*(Stories!$P$2:$P$200))/COUNTIF(Stories!$D$2:$D$200,B6),0)</f>
        <v>1</v>
      </c>
      <c r="K6" s="12" t="str">
        <f aca="false">IF(COUNTIFS(Epics!$B$2:$B$100,B6,Epics!$K$2:$K$100,"*Blocked*")&gt;0,"🚫 Blocked",IF(J6=1,"✅ Completed",IF(J6&gt;0,"🔄 In Progress","⏳ Planned")))</f>
        <v>✅ Completed</v>
      </c>
      <c r="L6" s="12" t="n">
        <v>0</v>
      </c>
    </row>
    <row r="7" customFormat="false" ht="15" hidden="false" customHeight="true" outlineLevel="0" collapsed="false">
      <c r="A7" s="12" t="n">
        <v>6</v>
      </c>
      <c r="B7" s="13" t="s">
        <v>78</v>
      </c>
      <c r="C7" s="12" t="s">
        <v>21</v>
      </c>
      <c r="D7" s="12" t="s">
        <v>79</v>
      </c>
      <c r="E7" s="12" t="s">
        <v>80</v>
      </c>
      <c r="F7" s="14"/>
      <c r="G7" s="14"/>
      <c r="H7" s="14"/>
      <c r="I7" s="12"/>
      <c r="J7" s="15" t="n">
        <f aca="false">IFERROR(SUMPRODUCT((Stories!$D$2:$D$200=B7)*(Stories!$P$2:$P$200))/COUNTIF(Stories!$D$2:$D$200,B7),0)</f>
        <v>1</v>
      </c>
      <c r="K7" s="12" t="str">
        <f aca="false">IF(COUNTIFS(Epics!$B$2:$B$100,B7,Epics!$K$2:$K$100,"*Blocked*")&gt;0,"🚫 Blocked",IF(J7=1,"✅ Completed",IF(J7&gt;0,"🔄 In Progress","⏳ Planned")))</f>
        <v>✅ Completed</v>
      </c>
      <c r="L7" s="12" t="n">
        <v>0</v>
      </c>
    </row>
    <row r="8" customFormat="false" ht="24" hidden="false" customHeight="true" outlineLevel="0" collapsed="false">
      <c r="A8" s="12" t="n">
        <v>7</v>
      </c>
      <c r="B8" s="13" t="s">
        <v>81</v>
      </c>
      <c r="C8" s="12" t="s">
        <v>21</v>
      </c>
      <c r="D8" s="12" t="s">
        <v>82</v>
      </c>
      <c r="E8" s="12" t="s">
        <v>83</v>
      </c>
      <c r="F8" s="14"/>
      <c r="G8" s="14"/>
      <c r="H8" s="14"/>
      <c r="I8" s="12"/>
      <c r="J8" s="15" t="n">
        <f aca="false">IFERROR(SUMPRODUCT((Stories!$D$2:$D$200=B8)*(Stories!$P$2:$P$200))/COUNTIF(Stories!$D$2:$D$200,B8),0)</f>
        <v>1</v>
      </c>
      <c r="K8" s="12" t="str">
        <f aca="false">IF(COUNTIFS(Epics!$B$2:$B$100,B8,Epics!$K$2:$K$100,"*Blocked*")&gt;0,"🚫 Blocked",IF(J8=1,"✅ Completed",IF(J8&gt;0,"🔄 In Progress","⏳ Planned")))</f>
        <v>✅ Completed</v>
      </c>
      <c r="L8" s="12" t="n">
        <v>0</v>
      </c>
    </row>
    <row r="9" customFormat="false" ht="15" hidden="false" customHeight="true" outlineLevel="0" collapsed="false">
      <c r="A9" s="12" t="n">
        <v>8</v>
      </c>
      <c r="B9" s="13" t="s">
        <v>84</v>
      </c>
      <c r="C9" s="12" t="s">
        <v>21</v>
      </c>
      <c r="D9" s="12" t="s">
        <v>85</v>
      </c>
      <c r="E9" s="12" t="s">
        <v>86</v>
      </c>
      <c r="F9" s="14"/>
      <c r="G9" s="14"/>
      <c r="H9" s="14"/>
      <c r="I9" s="12"/>
      <c r="J9" s="15" t="n">
        <f aca="false">IFERROR(SUMPRODUCT((Stories!$D$2:$D$200=B9)*(Stories!$P$2:$P$200))/COUNTIF(Stories!$D$2:$D$200,B9),0)</f>
        <v>1</v>
      </c>
      <c r="K9" s="12" t="str">
        <f aca="false">IF(COUNTIFS(Epics!$B$2:$B$100,B9,Epics!$K$2:$K$100,"*Blocked*")&gt;0,"🚫 Blocked",IF(J9=1,"✅ Completed",IF(J9&gt;0,"🔄 In Progress","⏳ Planned")))</f>
        <v>✅ Completed</v>
      </c>
      <c r="L9" s="12" t="n">
        <v>0</v>
      </c>
    </row>
    <row r="10" customFormat="false" ht="15" hidden="false" customHeight="true" outlineLevel="0" collapsed="false">
      <c r="A10" s="12" t="n">
        <v>9</v>
      </c>
      <c r="B10" s="13" t="s">
        <v>87</v>
      </c>
      <c r="C10" s="12" t="s">
        <v>21</v>
      </c>
      <c r="D10" s="12" t="s">
        <v>88</v>
      </c>
      <c r="E10" s="12" t="s">
        <v>89</v>
      </c>
      <c r="F10" s="14"/>
      <c r="G10" s="14"/>
      <c r="H10" s="14"/>
      <c r="I10" s="12"/>
      <c r="J10" s="15" t="n">
        <f aca="false">IFERROR(SUMPRODUCT((Stories!$D$2:$D$200=B10)*(Stories!$P$2:$P$200))/COUNTIF(Stories!$D$2:$D$200,B10),0)</f>
        <v>1</v>
      </c>
      <c r="K10" s="12" t="str">
        <f aca="false">IF(COUNTIFS(Epics!$B$2:$B$100,B10,Epics!$K$2:$K$100,"*Blocked*")&gt;0,"🚫 Blocked",IF(J10=1,"✅ Completed",IF(J10&gt;0,"🔄 In Progress","⏳ Planned")))</f>
        <v>✅ Completed</v>
      </c>
      <c r="L10" s="12" t="n">
        <v>0</v>
      </c>
    </row>
    <row r="11" customFormat="false" ht="15" hidden="false" customHeight="true" outlineLevel="0" collapsed="false">
      <c r="A11" s="12" t="n">
        <v>10</v>
      </c>
      <c r="B11" s="13" t="s">
        <v>90</v>
      </c>
      <c r="C11" s="12" t="s">
        <v>21</v>
      </c>
      <c r="D11" s="12" t="s">
        <v>91</v>
      </c>
      <c r="E11" s="12" t="s">
        <v>92</v>
      </c>
      <c r="F11" s="14"/>
      <c r="G11" s="14"/>
      <c r="H11" s="14"/>
      <c r="I11" s="12"/>
      <c r="J11" s="15" t="n">
        <f aca="false">IFERROR(SUMPRODUCT((Stories!$D$2:$D$200=B11)*(Stories!$P$2:$P$200))/COUNTIF(Stories!$D$2:$D$200,B11),0)</f>
        <v>0</v>
      </c>
      <c r="K11" s="12" t="str">
        <f aca="false">IF(COUNTIFS(Epics!$B$2:$B$100,B11,Epics!$K$2:$K$100,"*Blocked*")&gt;0,"🚫 Blocked",IF(J11=1,"✅ Completed",IF(J11&gt;0,"🔄 In Progress","⏳ Planned")))</f>
        <v>⏳ Planned</v>
      </c>
      <c r="L11" s="12" t="n">
        <v>0</v>
      </c>
    </row>
    <row r="12" customFormat="false" ht="15" hidden="false" customHeight="true" outlineLevel="0" collapsed="false">
      <c r="A12" s="12" t="n">
        <v>11</v>
      </c>
      <c r="B12" s="13" t="s">
        <v>93</v>
      </c>
      <c r="C12" s="12" t="s">
        <v>21</v>
      </c>
      <c r="D12" s="12" t="s">
        <v>94</v>
      </c>
      <c r="E12" s="12" t="s">
        <v>95</v>
      </c>
      <c r="F12" s="14"/>
      <c r="G12" s="14"/>
      <c r="H12" s="14"/>
      <c r="I12" s="12"/>
      <c r="J12" s="15" t="n">
        <f aca="false">IFERROR(SUMPRODUCT((Stories!$D$2:$D$200=B12)*(Stories!$P$2:$P$200))/COUNTIF(Stories!$D$2:$D$200,B12),0)</f>
        <v>0</v>
      </c>
      <c r="K12" s="12" t="str">
        <f aca="false">IF(COUNTIFS(Epics!$B$2:$B$100,B12,Epics!$K$2:$K$100,"*Blocked*")&gt;0,"🚫 Blocked",IF(J12=1,"✅ Completed",IF(J12&gt;0,"🔄 In Progress","⏳ Planned")))</f>
        <v>⏳ Planned</v>
      </c>
      <c r="L12" s="12" t="n">
        <v>0</v>
      </c>
    </row>
    <row r="13" customFormat="false" ht="15" hidden="false" customHeight="true" outlineLevel="0" collapsed="false">
      <c r="A13" s="12" t="n">
        <v>12</v>
      </c>
      <c r="B13" s="13" t="s">
        <v>96</v>
      </c>
      <c r="C13" s="12" t="s">
        <v>21</v>
      </c>
      <c r="D13" s="12" t="s">
        <v>97</v>
      </c>
      <c r="E13" s="12" t="s">
        <v>98</v>
      </c>
      <c r="F13" s="14"/>
      <c r="G13" s="14"/>
      <c r="H13" s="14"/>
      <c r="I13" s="12"/>
      <c r="J13" s="15" t="n">
        <f aca="false">IFERROR(SUMPRODUCT((Stories!$D$2:$D$200=B13)*(Stories!$P$2:$P$200))/COUNTIF(Stories!$D$2:$D$200,B13),0)</f>
        <v>0</v>
      </c>
      <c r="K13" s="12" t="str">
        <f aca="false">IF(COUNTIFS(Epics!$B$2:$B$100,B13,Epics!$K$2:$K$100,"*Blocked*")&gt;0,"🚫 Blocked",IF(J13=1,"✅ Completed",IF(J13&gt;0,"🔄 In Progress","⏳ Planned")))</f>
        <v>⏳ Planned</v>
      </c>
      <c r="L13" s="12" t="n">
        <v>0</v>
      </c>
    </row>
    <row r="14" customFormat="false" ht="15" hidden="false" customHeight="true" outlineLevel="0" collapsed="false">
      <c r="A14" s="12" t="n">
        <v>13</v>
      </c>
      <c r="B14" s="13" t="s">
        <v>99</v>
      </c>
      <c r="C14" s="12" t="s">
        <v>50</v>
      </c>
      <c r="D14" s="12" t="s">
        <v>100</v>
      </c>
      <c r="E14" s="12" t="s">
        <v>101</v>
      </c>
      <c r="F14" s="14"/>
      <c r="G14" s="14"/>
      <c r="H14" s="14"/>
      <c r="I14" s="12"/>
      <c r="J14" s="15" t="n">
        <f aca="false">IFERROR(SUMPRODUCT((Stories!$D$2:$D$200=B14)*(Stories!$P$2:$P$200))/COUNTIF(Stories!$D$2:$D$200,B14),0)</f>
        <v>0</v>
      </c>
      <c r="K14" s="12" t="str">
        <f aca="false">IF(COUNTIFS(Epics!$B$2:$B$100,B14,Epics!$K$2:$K$100,"*Blocked*")&gt;0,"🚫 Blocked",IF(J14=1,"✅ Completed",IF(J14&gt;0,"🔄 In Progress","⏳ Planned")))</f>
        <v>⏳ Planned</v>
      </c>
      <c r="L14" s="12" t="n">
        <v>0</v>
      </c>
    </row>
    <row r="15" customFormat="false" ht="15" hidden="false" customHeight="true" outlineLevel="0" collapsed="false">
      <c r="A15" s="12" t="n">
        <v>14</v>
      </c>
      <c r="B15" s="13" t="s">
        <v>102</v>
      </c>
      <c r="C15" s="12" t="s">
        <v>50</v>
      </c>
      <c r="D15" s="12" t="s">
        <v>103</v>
      </c>
      <c r="E15" s="12" t="s">
        <v>104</v>
      </c>
      <c r="F15" s="14"/>
      <c r="G15" s="14"/>
      <c r="H15" s="14"/>
      <c r="I15" s="12"/>
      <c r="J15" s="15" t="n">
        <f aca="false">IFERROR(SUMPRODUCT((Stories!$D$2:$D$200=B15)*(Stories!$P$2:$P$200))/COUNTIF(Stories!$D$2:$D$200,B15),0)</f>
        <v>0</v>
      </c>
      <c r="K15" s="12" t="str">
        <f aca="false">IF(COUNTIFS(Epics!$B$2:$B$100,B15,Epics!$K$2:$K$100,"*Blocked*")&gt;0,"🚫 Blocked",IF(J15=1,"✅ Completed",IF(J15&gt;0,"🔄 In Progress","⏳ Planned")))</f>
        <v>⏳ Planned</v>
      </c>
      <c r="L15" s="12" t="n">
        <v>0</v>
      </c>
    </row>
    <row r="16" customFormat="false" ht="24" hidden="false" customHeight="true" outlineLevel="0" collapsed="false">
      <c r="A16" s="12" t="n">
        <v>15</v>
      </c>
      <c r="B16" s="13" t="s">
        <v>105</v>
      </c>
      <c r="C16" s="12" t="s">
        <v>53</v>
      </c>
      <c r="D16" s="12" t="s">
        <v>106</v>
      </c>
      <c r="E16" s="12" t="s">
        <v>107</v>
      </c>
      <c r="F16" s="14"/>
      <c r="G16" s="14"/>
      <c r="H16" s="14"/>
      <c r="I16" s="12"/>
      <c r="J16" s="15" t="n">
        <f aca="false">IFERROR(SUMPRODUCT((Stories!$D$2:$D$200=B16)*(Stories!$P$2:$P$200))/COUNTIF(Stories!$D$2:$D$200,B16),0)</f>
        <v>0</v>
      </c>
      <c r="K16" s="12" t="str">
        <f aca="false">IF(COUNTIFS(Epics!$B$2:$B$100,B16,Epics!$K$2:$K$100,"*Blocked*")&gt;0,"🚫 Blocked",IF(J16=1,"✅ Completed",IF(J16&gt;0,"🔄 In Progress","⏳ Planned")))</f>
        <v>⏳ Planned</v>
      </c>
      <c r="L16" s="12" t="n">
        <v>0</v>
      </c>
    </row>
    <row r="17" customFormat="false" ht="15" hidden="false" customHeight="true" outlineLevel="0" collapsed="false">
      <c r="A17" s="12"/>
      <c r="B17" s="13" t="s">
        <v>108</v>
      </c>
      <c r="C17" s="12"/>
      <c r="D17" s="12"/>
      <c r="E17" s="12"/>
      <c r="F17" s="14"/>
      <c r="G17" s="14"/>
      <c r="H17" s="14"/>
      <c r="I17" s="12"/>
      <c r="J17" s="15"/>
      <c r="K17" s="12"/>
      <c r="L17" s="12"/>
    </row>
    <row r="18" customFormat="false" ht="15" hidden="false" customHeight="true" outlineLevel="0" collapsed="false">
      <c r="A18" s="12"/>
      <c r="B18" s="13" t="s">
        <v>108</v>
      </c>
      <c r="C18" s="12"/>
      <c r="D18" s="12"/>
      <c r="E18" s="12"/>
      <c r="F18" s="14"/>
      <c r="G18" s="14"/>
      <c r="H18" s="14"/>
      <c r="I18" s="12"/>
      <c r="J18" s="15"/>
      <c r="K18" s="12"/>
      <c r="L18" s="12"/>
    </row>
    <row r="19" customFormat="false" ht="15" hidden="false" customHeight="true" outlineLevel="0" collapsed="false">
      <c r="A19" s="12"/>
      <c r="B19" s="13" t="s">
        <v>108</v>
      </c>
      <c r="C19" s="12"/>
      <c r="D19" s="12"/>
      <c r="E19" s="12"/>
      <c r="F19" s="14"/>
      <c r="G19" s="14"/>
      <c r="H19" s="14"/>
      <c r="I19" s="12"/>
      <c r="J19" s="15"/>
      <c r="K19" s="12"/>
      <c r="L19" s="12"/>
    </row>
    <row r="20" customFormat="false" ht="15" hidden="false" customHeight="true" outlineLevel="0" collapsed="false">
      <c r="A20" s="12"/>
      <c r="B20" s="13" t="s">
        <v>108</v>
      </c>
      <c r="C20" s="12"/>
      <c r="D20" s="12"/>
      <c r="E20" s="12"/>
      <c r="F20" s="14"/>
      <c r="G20" s="14"/>
      <c r="H20" s="14"/>
      <c r="I20" s="12"/>
      <c r="J20" s="15"/>
      <c r="K20" s="12"/>
      <c r="L20" s="12"/>
    </row>
    <row r="21" customFormat="false" ht="15" hidden="false" customHeight="true" outlineLevel="0" collapsed="false">
      <c r="A21" s="12"/>
      <c r="B21" s="13" t="s">
        <v>108</v>
      </c>
      <c r="C21" s="12"/>
      <c r="D21" s="12"/>
      <c r="E21" s="12"/>
      <c r="F21" s="14"/>
      <c r="G21" s="14"/>
      <c r="H21" s="14"/>
      <c r="I21" s="12"/>
      <c r="J21" s="15"/>
      <c r="K21" s="12"/>
      <c r="L21" s="12"/>
    </row>
    <row r="22" customFormat="false" ht="15" hidden="false" customHeight="true" outlineLevel="0" collapsed="false">
      <c r="A22" s="12"/>
      <c r="B22" s="13" t="s">
        <v>108</v>
      </c>
      <c r="C22" s="12"/>
      <c r="D22" s="12"/>
      <c r="E22" s="12"/>
      <c r="F22" s="14"/>
      <c r="G22" s="14"/>
      <c r="H22" s="14"/>
      <c r="I22" s="12"/>
      <c r="J22" s="15"/>
      <c r="K22" s="12"/>
      <c r="L22" s="12"/>
    </row>
    <row r="23" customFormat="false" ht="15" hidden="false" customHeight="true" outlineLevel="0" collapsed="false">
      <c r="A23" s="12"/>
      <c r="B23" s="13" t="s">
        <v>108</v>
      </c>
      <c r="C23" s="12"/>
      <c r="D23" s="12"/>
      <c r="E23" s="12"/>
      <c r="F23" s="14"/>
      <c r="G23" s="14"/>
      <c r="H23" s="14"/>
      <c r="I23" s="12"/>
      <c r="J23" s="15"/>
      <c r="K23" s="12"/>
      <c r="L23" s="12"/>
    </row>
    <row r="24" customFormat="false" ht="15" hidden="false" customHeight="true" outlineLevel="0" collapsed="false">
      <c r="A24" s="12"/>
      <c r="B24" s="13" t="s">
        <v>108</v>
      </c>
      <c r="C24" s="12"/>
      <c r="D24" s="12"/>
      <c r="E24" s="12"/>
      <c r="F24" s="14"/>
      <c r="G24" s="14"/>
      <c r="H24" s="14"/>
      <c r="I24" s="12"/>
      <c r="J24" s="15"/>
      <c r="K24" s="12"/>
      <c r="L24" s="12"/>
    </row>
    <row r="25" customFormat="false" ht="15" hidden="false" customHeight="true" outlineLevel="0" collapsed="false">
      <c r="A25" s="12"/>
      <c r="B25" s="13" t="s">
        <v>108</v>
      </c>
      <c r="C25" s="12"/>
      <c r="D25" s="12"/>
      <c r="E25" s="12"/>
      <c r="F25" s="14"/>
      <c r="G25" s="14"/>
      <c r="H25" s="14"/>
      <c r="I25" s="12"/>
      <c r="J25" s="15"/>
      <c r="K25" s="12"/>
      <c r="L25" s="12"/>
    </row>
  </sheetData>
  <conditionalFormatting sqref="K2:K25">
    <cfRule type="expression" priority="2" aboveAverage="0" equalAverage="0" bottom="0" percent="0" rank="0" text="" dxfId="0">
      <formula>ISNUMBER(SEARCH("Completed",K2))</formula>
    </cfRule>
    <cfRule type="expression" priority="3" aboveAverage="0" equalAverage="0" bottom="0" percent="0" rank="0" text="" dxfId="0">
      <formula>ISNUMBER(SEARCH("Done",K2))</formula>
    </cfRule>
    <cfRule type="expression" priority="4" aboveAverage="0" equalAverage="0" bottom="0" percent="0" rank="0" text="" dxfId="1">
      <formula>ISNUMBER(SEARCH("Progress",K2))</formula>
    </cfRule>
    <cfRule type="expression" priority="5" aboveAverage="0" equalAverage="0" bottom="0" percent="0" rank="0" text="" dxfId="2">
      <formula>ISNUMBER(SEARCH("Blocked",K2))</formula>
    </cfRule>
    <cfRule type="expression" priority="6" aboveAverage="0" equalAverage="0" bottom="0" percent="0" rank="0" text="" dxfId="3">
      <formula>ISNUMBER(SEARCH("Planned",K2))</formula>
    </cfRule>
    <cfRule type="expression" priority="7" aboveAverage="0" equalAverage="0" bottom="0" percent="0" rank="0" text="" dxfId="3">
      <formula>ISNUMBER(SEARCH("Not Started",K2))</formula>
    </cfRule>
  </conditionalFormatting>
  <conditionalFormatting sqref="J2:J25">
    <cfRule type="dataBar" priority="8">
      <dataBar showValue="1" minLength="10" maxLength="90">
        <cfvo type="num" val="0"/>
        <cfvo type="num" val="100"/>
        <color rgb="FF638EC6"/>
      </dataBar>
      <extLst>
        <ext xmlns:x14="http://schemas.microsoft.com/office/spreadsheetml/2009/9/main" uri="{B025F937-C7B1-47D3-B67F-A62EFF666E3E}">
          <x14:id>{FF98F6B2-DCF6-44F2-A9A0-503A10AC5CF0}</x14:id>
        </ext>
      </extLst>
    </cfRule>
    <cfRule type="dataBar" priority="9">
      <dataBar showValue="1" minLength="10" maxLength="90">
        <cfvo type="num" val="0"/>
        <cfvo type="num" val="100"/>
        <color rgb="FF638EC6"/>
      </dataBar>
      <extLst>
        <ext xmlns:x14="http://schemas.microsoft.com/office/spreadsheetml/2009/9/main" uri="{B025F937-C7B1-47D3-B67F-A62EFF666E3E}">
          <x14:id>{EBD5F0F2-2D38-40C5-98FC-3A8F46D75DC0}</x14:id>
        </ext>
      </extLst>
    </cfRule>
  </conditionalFormatting>
  <hyperlinks>
    <hyperlink ref="B2" r:id="rId2" display="ML1"/>
    <hyperlink ref="B3" r:id="rId3" display="ML2"/>
    <hyperlink ref="B4" r:id="rId4" display="ML3"/>
    <hyperlink ref="B5" r:id="rId5" display="ML4"/>
    <hyperlink ref="B6" r:id="rId6" display="ML5"/>
    <hyperlink ref="B7" r:id="rId7" display="ML6"/>
    <hyperlink ref="B8" r:id="rId8" display="ML7"/>
    <hyperlink ref="B9" r:id="rId9" display="ML8"/>
    <hyperlink ref="B10" r:id="rId10" display="ML9"/>
    <hyperlink ref="B11" r:id="rId11" display="ML10"/>
    <hyperlink ref="B12" r:id="rId12" display="ML11"/>
    <hyperlink ref="B13" r:id="rId13" display="ML12"/>
    <hyperlink ref="B14" r:id="rId14" display="ML13"/>
    <hyperlink ref="B15" r:id="rId15" display="ML14"/>
    <hyperlink ref="B16" r:id="rId16" display="ML15"/>
    <hyperlink ref="B17" r:id="rId17" display="Project_Tracker_new.xlsx"/>
    <hyperlink ref="B18" r:id="rId18" display="Project_Tracker_new.xlsx"/>
    <hyperlink ref="B19" r:id="rId19" display="Project_Tracker_new.xlsx"/>
    <hyperlink ref="B20" r:id="rId20" display="Project_Tracker_new.xlsx"/>
    <hyperlink ref="B21" r:id="rId21" display="Project_Tracker_new.xlsx"/>
    <hyperlink ref="B22" r:id="rId22" display="Project_Tracker_new.xlsx"/>
    <hyperlink ref="B23" r:id="rId23" display="Project_Tracker_new.xlsx"/>
    <hyperlink ref="B24" r:id="rId24" display="Project_Tracker_new.xlsx"/>
    <hyperlink ref="B25" r:id="rId25" display="Project_Tracker_new.xlsx"/>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6"/>
  <tableParts>
    <tablePart r:id="rId27"/>
  </tableParts>
  <extLst>
    <ext xmlns:x14="http://schemas.microsoft.com/office/spreadsheetml/2009/9/main" uri="{78C0D931-6437-407d-A8EE-F0AAD7539E65}">
      <x14:conditionalFormattings>
        <x14:conditionalFormatting xmlns:xm="http://schemas.microsoft.com/office/excel/2006/main">
          <x14:cfRule type="dataBar" id="{FF98F6B2-DCF6-44F2-A9A0-503A10AC5CF0}">
            <x14:dataBar minLength="10" maxLength="90" axisPosition="none" gradient="true">
              <x14:cfvo type="num">
                <xm:f>0</xm:f>
              </x14:cfvo>
              <x14:cfvo type="num">
                <xm:f>100</xm:f>
              </x14:cfvo>
              <x14:negativeFillColor rgb="FF638EC6"/>
              <x14:axisColor rgb="FF000000"/>
            </x14:dataBar>
          </x14:cfRule>
          <x14:cfRule type="dataBar" id="{EBD5F0F2-2D38-40C5-98FC-3A8F46D75DC0}">
            <x14:dataBar minLength="10" maxLength="90" axisPosition="none" gradient="true">
              <x14:cfvo type="num">
                <xm:f>0</xm:f>
              </x14:cfvo>
              <x14:cfvo type="num">
                <xm:f>100</xm:f>
              </x14:cfvo>
              <x14:negativeFillColor rgb="FF638EC6"/>
              <x14:axisColor rgb="FF000000"/>
            </x14:dataBar>
          </x14:cfRule>
          <xm:sqref>J2:J25</xm:sqref>
        </x14:conditionalFormatting>
      </x14:conditionalFormatting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6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6796875" defaultRowHeight="15" customHeight="false" zeroHeight="false" outlineLevelRow="0" outlineLevelCol="0"/>
  <cols>
    <col collapsed="false" customWidth="true" hidden="false" outlineLevel="0" max="1" min="1" style="0" width="7"/>
    <col collapsed="false" customWidth="true" hidden="false" outlineLevel="0" max="3" min="2" style="0" width="12"/>
    <col collapsed="false" customWidth="true" hidden="false" outlineLevel="0" max="4" min="4" style="0" width="28"/>
    <col collapsed="false" customWidth="true" hidden="false" outlineLevel="0" max="5" min="5" style="0" width="52"/>
    <col collapsed="false" customWidth="true" hidden="false" outlineLevel="0" max="6" min="6" style="0" width="10"/>
    <col collapsed="false" customWidth="true" hidden="false" outlineLevel="0" max="8" min="7" style="0" width="13"/>
    <col collapsed="false" customWidth="true" hidden="false" outlineLevel="0" max="9" min="9" style="0" width="15"/>
    <col collapsed="false" customWidth="true" hidden="false" outlineLevel="0" max="10" min="10" style="0" width="12"/>
    <col collapsed="false" customWidth="true" hidden="false" outlineLevel="0" max="11" min="11" style="0" width="16"/>
  </cols>
  <sheetData>
    <row r="1" customFormat="false" ht="15" hidden="false" customHeight="true" outlineLevel="0" collapsed="false">
      <c r="A1" s="4" t="s">
        <v>56</v>
      </c>
      <c r="B1" s="4" t="s">
        <v>109</v>
      </c>
      <c r="C1" s="4" t="s">
        <v>110</v>
      </c>
      <c r="D1" s="4" t="s">
        <v>111</v>
      </c>
      <c r="E1" s="4" t="s">
        <v>43</v>
      </c>
      <c r="F1" s="4" t="s">
        <v>62</v>
      </c>
      <c r="G1" s="4" t="s">
        <v>59</v>
      </c>
      <c r="H1" s="4" t="s">
        <v>60</v>
      </c>
      <c r="I1" s="4" t="s">
        <v>61</v>
      </c>
      <c r="J1" s="4" t="s">
        <v>18</v>
      </c>
      <c r="K1" s="4" t="s">
        <v>13</v>
      </c>
    </row>
    <row r="2" customFormat="false" ht="26.25" hidden="false" customHeight="true" outlineLevel="0" collapsed="false">
      <c r="A2" s="10" t="n">
        <v>1</v>
      </c>
      <c r="B2" s="10" t="s">
        <v>64</v>
      </c>
      <c r="C2" s="10" t="s">
        <v>112</v>
      </c>
      <c r="D2" s="10" t="s">
        <v>65</v>
      </c>
      <c r="E2" s="10" t="s">
        <v>113</v>
      </c>
      <c r="F2" s="10"/>
      <c r="G2" s="10"/>
      <c r="H2" s="10"/>
      <c r="I2" s="10"/>
      <c r="J2" s="11" t="n">
        <f aca="false">IFERROR(SUMPRODUCT((Stories!$C$2:$C$200=C2)*(Stories!$P$2:$P$200))/COUNTIF(Stories!$C$2:$C$200,C2),0)</f>
        <v>1</v>
      </c>
      <c r="K2" s="11" t="str">
        <f aca="false">IF(COUNTIFS(Stories!$C$2:$C$200,C2,Stories!$M$2:$M$200,"*Blocked*")&gt;0,"🚫 Blocked",IF(J2=1,"✅ Completed",IF(J2&gt;0,"🔄 In Progress","⏳ Planned")))</f>
        <v>✅ Completed</v>
      </c>
    </row>
    <row r="3" customFormat="false" ht="15" hidden="false" customHeight="true" outlineLevel="0" collapsed="false">
      <c r="A3" s="10" t="n">
        <v>2</v>
      </c>
      <c r="B3" s="10" t="s">
        <v>24</v>
      </c>
      <c r="C3" s="10" t="s">
        <v>114</v>
      </c>
      <c r="D3" s="10" t="s">
        <v>115</v>
      </c>
      <c r="E3" s="10" t="s">
        <v>116</v>
      </c>
      <c r="F3" s="10"/>
      <c r="G3" s="10"/>
      <c r="H3" s="10"/>
      <c r="I3" s="10"/>
      <c r="J3" s="11" t="n">
        <f aca="false">IFERROR(SUMPRODUCT((Stories!$C$2:$C$200=C3)*(Stories!$P$2:$P$200))/COUNTIF(Stories!$C$2:$C$200,C3),0)</f>
        <v>1</v>
      </c>
      <c r="K3" s="11" t="str">
        <f aca="false">IF(COUNTIFS(Stories!$C$2:$C$200,C3,Stories!$M$2:$M$200,"*Blocked*")&gt;0,"🚫 Blocked",IF(J3=1,"✅ Completed",IF(J3&gt;0,"🔄 In Progress","⏳ Planned")))</f>
        <v>✅ Completed</v>
      </c>
    </row>
    <row r="4" customFormat="false" ht="15" hidden="false" customHeight="true" outlineLevel="0" collapsed="false">
      <c r="A4" s="10" t="n">
        <v>3</v>
      </c>
      <c r="B4" s="10" t="s">
        <v>24</v>
      </c>
      <c r="C4" s="10" t="s">
        <v>117</v>
      </c>
      <c r="D4" s="10" t="s">
        <v>118</v>
      </c>
      <c r="E4" s="10" t="s">
        <v>119</v>
      </c>
      <c r="F4" s="10"/>
      <c r="G4" s="10"/>
      <c r="H4" s="10"/>
      <c r="I4" s="10"/>
      <c r="J4" s="11" t="n">
        <f aca="false">IFERROR(SUMPRODUCT((Stories!$C$2:$C$200=C4)*(Stories!$P$2:$P$200))/COUNTIF(Stories!$C$2:$C$200,C4),0)</f>
        <v>1</v>
      </c>
      <c r="K4" s="11" t="str">
        <f aca="false">IF(COUNTIFS(Stories!$C$2:$C$200,C4,Stories!$M$2:$M$200,"*Blocked*")&gt;0,"🚫 Blocked",IF(J4=1,"✅ Completed",IF(J4&gt;0,"🔄 In Progress","⏳ Planned")))</f>
        <v>✅ Completed</v>
      </c>
    </row>
    <row r="5" customFormat="false" ht="15" hidden="false" customHeight="true" outlineLevel="0" collapsed="false">
      <c r="A5" s="10" t="n">
        <v>4</v>
      </c>
      <c r="B5" s="10" t="s">
        <v>24</v>
      </c>
      <c r="C5" s="10" t="s">
        <v>120</v>
      </c>
      <c r="D5" s="10" t="s">
        <v>121</v>
      </c>
      <c r="E5" s="10" t="s">
        <v>122</v>
      </c>
      <c r="F5" s="10"/>
      <c r="G5" s="10"/>
      <c r="H5" s="10"/>
      <c r="I5" s="10"/>
      <c r="J5" s="11" t="n">
        <f aca="false">IFERROR(SUMPRODUCT((Stories!$C$2:$C$200=C5)*(Stories!$P$2:$P$200))/COUNTIF(Stories!$C$2:$C$200,C5),0)</f>
        <v>1</v>
      </c>
      <c r="K5" s="11" t="str">
        <f aca="false">IF(COUNTIFS(Stories!$C$2:$C$200,C5,Stories!$M$2:$M$200,"*Blocked*")&gt;0,"🚫 Blocked",IF(J5=1,"✅ Completed",IF(J5&gt;0,"🔄 In Progress","⏳ Planned")))</f>
        <v>✅ Completed</v>
      </c>
    </row>
    <row r="6" customFormat="false" ht="15" hidden="false" customHeight="true" outlineLevel="0" collapsed="false">
      <c r="A6" s="10" t="n">
        <v>5</v>
      </c>
      <c r="B6" s="10" t="s">
        <v>69</v>
      </c>
      <c r="C6" s="10" t="s">
        <v>123</v>
      </c>
      <c r="D6" s="10" t="s">
        <v>70</v>
      </c>
      <c r="E6" s="10" t="s">
        <v>124</v>
      </c>
      <c r="F6" s="10"/>
      <c r="G6" s="10"/>
      <c r="H6" s="10"/>
      <c r="I6" s="10"/>
      <c r="J6" s="11" t="n">
        <f aca="false">IFERROR(SUMPRODUCT((Stories!$C$2:$C$200=C6)*(Stories!$P$2:$P$200))/COUNTIF(Stories!$C$2:$C$200,C6),0)</f>
        <v>1</v>
      </c>
      <c r="K6" s="11" t="str">
        <f aca="false">IF(COUNTIFS(Stories!$C$2:$C$200,C6,Stories!$M$2:$M$200,"*Blocked*")&gt;0,"🚫 Blocked",IF(J6=1,"✅ Completed",IF(J6&gt;0,"🔄 In Progress","⏳ Planned")))</f>
        <v>✅ Completed</v>
      </c>
    </row>
    <row r="7" customFormat="false" ht="15" hidden="false" customHeight="true" outlineLevel="0" collapsed="false">
      <c r="A7" s="10" t="n">
        <v>6</v>
      </c>
      <c r="B7" s="10" t="s">
        <v>72</v>
      </c>
      <c r="C7" s="10" t="s">
        <v>125</v>
      </c>
      <c r="D7" s="10" t="s">
        <v>73</v>
      </c>
      <c r="E7" s="10" t="s">
        <v>126</v>
      </c>
      <c r="F7" s="10"/>
      <c r="G7" s="10"/>
      <c r="H7" s="10"/>
      <c r="I7" s="10"/>
      <c r="J7" s="11" t="n">
        <f aca="false">IFERROR(SUMPRODUCT((Stories!$C$2:$C$200=C7)*(Stories!$P$2:$P$200))/COUNTIF(Stories!$C$2:$C$200,C7),0)</f>
        <v>1</v>
      </c>
      <c r="K7" s="11" t="str">
        <f aca="false">IF(COUNTIFS(Stories!$C$2:$C$200,C7,Stories!$M$2:$M$200,"*Blocked*")&gt;0,"🚫 Blocked",IF(J7=1,"✅ Completed",IF(J7&gt;0,"🔄 In Progress","⏳ Planned")))</f>
        <v>✅ Completed</v>
      </c>
    </row>
    <row r="8" customFormat="false" ht="15" hidden="false" customHeight="true" outlineLevel="0" collapsed="false">
      <c r="A8" s="10" t="n">
        <v>7</v>
      </c>
      <c r="B8" s="10" t="s">
        <v>75</v>
      </c>
      <c r="C8" s="10" t="s">
        <v>127</v>
      </c>
      <c r="D8" s="10" t="s">
        <v>76</v>
      </c>
      <c r="E8" s="10" t="s">
        <v>128</v>
      </c>
      <c r="F8" s="10"/>
      <c r="G8" s="10"/>
      <c r="H8" s="10"/>
      <c r="I8" s="10"/>
      <c r="J8" s="11" t="n">
        <f aca="false">IFERROR(SUMPRODUCT((Stories!$C$2:$C$200=C8)*(Stories!$P$2:$P$200))/COUNTIF(Stories!$C$2:$C$200,C8),0)</f>
        <v>1</v>
      </c>
      <c r="K8" s="11" t="str">
        <f aca="false">IF(COUNTIFS(Stories!$C$2:$C$200,C8,Stories!$M$2:$M$200,"*Blocked*")&gt;0,"🚫 Blocked",IF(J8=1,"✅ Completed",IF(J8&gt;0,"🔄 In Progress","⏳ Planned")))</f>
        <v>✅ Completed</v>
      </c>
    </row>
    <row r="9" customFormat="false" ht="15" hidden="false" customHeight="true" outlineLevel="0" collapsed="false">
      <c r="A9" s="10" t="n">
        <v>8</v>
      </c>
      <c r="B9" s="10" t="s">
        <v>75</v>
      </c>
      <c r="C9" s="10" t="s">
        <v>129</v>
      </c>
      <c r="D9" s="10" t="s">
        <v>130</v>
      </c>
      <c r="E9" s="10" t="s">
        <v>131</v>
      </c>
      <c r="F9" s="10"/>
      <c r="G9" s="10"/>
      <c r="H9" s="10"/>
      <c r="I9" s="10"/>
      <c r="J9" s="11" t="n">
        <f aca="false">IFERROR(SUMPRODUCT((Stories!$C$2:$C$200=C9)*(Stories!$P$2:$P$200))/COUNTIF(Stories!$C$2:$C$200,C9),0)</f>
        <v>1</v>
      </c>
      <c r="K9" s="11" t="str">
        <f aca="false">IF(COUNTIFS(Stories!$C$2:$C$200,C9,Stories!$M$2:$M$200,"*Blocked*")&gt;0,"🚫 Blocked",IF(J9=1,"✅ Completed",IF(J9&gt;0,"🔄 In Progress","⏳ Planned")))</f>
        <v>✅ Completed</v>
      </c>
    </row>
    <row r="10" customFormat="false" ht="15" hidden="false" customHeight="true" outlineLevel="0" collapsed="false">
      <c r="A10" s="10" t="n">
        <v>9</v>
      </c>
      <c r="B10" s="10" t="s">
        <v>78</v>
      </c>
      <c r="C10" s="10" t="s">
        <v>132</v>
      </c>
      <c r="D10" s="10" t="s">
        <v>133</v>
      </c>
      <c r="E10" s="10" t="s">
        <v>134</v>
      </c>
      <c r="F10" s="10"/>
      <c r="G10" s="10"/>
      <c r="H10" s="10"/>
      <c r="I10" s="10"/>
      <c r="J10" s="11" t="n">
        <f aca="false">IFERROR(SUMPRODUCT((Stories!$C$2:$C$200=C10)*(Stories!$P$2:$P$200))/COUNTIF(Stories!$C$2:$C$200,C10),0)</f>
        <v>1</v>
      </c>
      <c r="K10" s="11" t="str">
        <f aca="false">IF(COUNTIFS(Stories!$C$2:$C$200,C10,Stories!$M$2:$M$200,"*Blocked*")&gt;0,"🚫 Blocked",IF(J10=1,"✅ Completed",IF(J10&gt;0,"🔄 In Progress","⏳ Planned")))</f>
        <v>✅ Completed</v>
      </c>
    </row>
    <row r="11" customFormat="false" ht="15" hidden="false" customHeight="true" outlineLevel="0" collapsed="false">
      <c r="A11" s="10" t="n">
        <v>10</v>
      </c>
      <c r="B11" s="10" t="s">
        <v>78</v>
      </c>
      <c r="C11" s="10" t="s">
        <v>135</v>
      </c>
      <c r="D11" s="10" t="s">
        <v>136</v>
      </c>
      <c r="E11" s="10" t="s">
        <v>137</v>
      </c>
      <c r="F11" s="10"/>
      <c r="G11" s="10"/>
      <c r="H11" s="10"/>
      <c r="I11" s="10"/>
      <c r="J11" s="11" t="n">
        <f aca="false">IFERROR(SUMPRODUCT((Stories!$C$2:$C$200=C11)*(Stories!$P$2:$P$200))/COUNTIF(Stories!$C$2:$C$200,C11),0)</f>
        <v>1</v>
      </c>
      <c r="K11" s="11" t="str">
        <f aca="false">IF(COUNTIFS(Stories!$C$2:$C$200,C11,Stories!$M$2:$M$200,"*Blocked*")&gt;0,"🚫 Blocked",IF(J11=1,"✅ Completed",IF(J11&gt;0,"🔄 In Progress","⏳ Planned")))</f>
        <v>✅ Completed</v>
      </c>
    </row>
    <row r="12" customFormat="false" ht="15" hidden="false" customHeight="true" outlineLevel="0" collapsed="false">
      <c r="A12" s="10" t="n">
        <v>11</v>
      </c>
      <c r="B12" s="10" t="s">
        <v>81</v>
      </c>
      <c r="C12" s="10" t="s">
        <v>138</v>
      </c>
      <c r="D12" s="10" t="s">
        <v>139</v>
      </c>
      <c r="E12" s="10" t="s">
        <v>140</v>
      </c>
      <c r="F12" s="10"/>
      <c r="G12" s="10"/>
      <c r="H12" s="10"/>
      <c r="I12" s="10"/>
      <c r="J12" s="11" t="n">
        <f aca="false">IFERROR(SUMPRODUCT((Stories!$C$2:$C$200=C12)*(Stories!$P$2:$P$200))/COUNTIF(Stories!$C$2:$C$200,C12),0)</f>
        <v>1</v>
      </c>
      <c r="K12" s="11" t="str">
        <f aca="false">IF(COUNTIFS(Stories!$C$2:$C$200,C12,Stories!$M$2:$M$200,"*Blocked*")&gt;0,"🚫 Blocked",IF(J12=1,"✅ Completed",IF(J12&gt;0,"🔄 In Progress","⏳ Planned")))</f>
        <v>✅ Completed</v>
      </c>
    </row>
    <row r="13" customFormat="false" ht="15" hidden="false" customHeight="true" outlineLevel="0" collapsed="false">
      <c r="A13" s="10" t="n">
        <v>12</v>
      </c>
      <c r="B13" s="10" t="s">
        <v>81</v>
      </c>
      <c r="C13" s="10" t="s">
        <v>141</v>
      </c>
      <c r="D13" s="10" t="s">
        <v>142</v>
      </c>
      <c r="E13" s="10" t="s">
        <v>143</v>
      </c>
      <c r="F13" s="10"/>
      <c r="G13" s="10"/>
      <c r="H13" s="10"/>
      <c r="I13" s="10"/>
      <c r="J13" s="11" t="n">
        <f aca="false">IFERROR(SUMPRODUCT((Stories!$C$2:$C$200=C13)*(Stories!$P$2:$P$200))/COUNTIF(Stories!$C$2:$C$200,C13),0)</f>
        <v>1</v>
      </c>
      <c r="K13" s="11" t="str">
        <f aca="false">IF(COUNTIFS(Stories!$C$2:$C$200,C13,Stories!$M$2:$M$200,"*Blocked*")&gt;0,"🚫 Blocked",IF(J13=1,"✅ Completed",IF(J13&gt;0,"🔄 In Progress","⏳ Planned")))</f>
        <v>✅ Completed</v>
      </c>
    </row>
    <row r="14" customFormat="false" ht="15" hidden="false" customHeight="true" outlineLevel="0" collapsed="false">
      <c r="A14" s="10" t="n">
        <v>13</v>
      </c>
      <c r="B14" s="10" t="s">
        <v>84</v>
      </c>
      <c r="C14" s="10" t="s">
        <v>144</v>
      </c>
      <c r="D14" s="10" t="s">
        <v>145</v>
      </c>
      <c r="E14" s="10" t="s">
        <v>146</v>
      </c>
      <c r="F14" s="10"/>
      <c r="G14" s="10"/>
      <c r="H14" s="10"/>
      <c r="I14" s="10"/>
      <c r="J14" s="11" t="n">
        <f aca="false">IFERROR(SUMPRODUCT((Stories!$C$2:$C$200=C14)*(Stories!$P$2:$P$200))/COUNTIF(Stories!$C$2:$C$200,C14),0)</f>
        <v>1</v>
      </c>
      <c r="K14" s="11" t="str">
        <f aca="false">IF(COUNTIFS(Stories!$C$2:$C$200,C14,Stories!$M$2:$M$200,"*Blocked*")&gt;0,"🚫 Blocked",IF(J14=1,"✅ Completed",IF(J14&gt;0,"🔄 In Progress","⏳ Planned")))</f>
        <v>✅ Completed</v>
      </c>
    </row>
    <row r="15" customFormat="false" ht="15" hidden="false" customHeight="true" outlineLevel="0" collapsed="false">
      <c r="A15" s="10" t="n">
        <v>14</v>
      </c>
      <c r="B15" s="10" t="s">
        <v>84</v>
      </c>
      <c r="C15" s="10" t="s">
        <v>147</v>
      </c>
      <c r="D15" s="10" t="s">
        <v>148</v>
      </c>
      <c r="E15" s="10" t="s">
        <v>149</v>
      </c>
      <c r="F15" s="10"/>
      <c r="G15" s="10"/>
      <c r="H15" s="10"/>
      <c r="I15" s="10"/>
      <c r="J15" s="11" t="n">
        <f aca="false">IFERROR(SUMPRODUCT((Stories!$C$2:$C$200=C15)*(Stories!$P$2:$P$200))/COUNTIF(Stories!$C$2:$C$200,C15),0)</f>
        <v>1</v>
      </c>
      <c r="K15" s="11" t="str">
        <f aca="false">IF(COUNTIFS(Stories!$C$2:$C$200,C15,Stories!$M$2:$M$200,"*Blocked*")&gt;0,"🚫 Blocked",IF(J15=1,"✅ Completed",IF(J15&gt;0,"🔄 In Progress","⏳ Planned")))</f>
        <v>✅ Completed</v>
      </c>
    </row>
    <row r="16" customFormat="false" ht="15" hidden="false" customHeight="true" outlineLevel="0" collapsed="false">
      <c r="A16" s="10" t="n">
        <v>15</v>
      </c>
      <c r="B16" s="10" t="s">
        <v>87</v>
      </c>
      <c r="C16" s="10" t="s">
        <v>150</v>
      </c>
      <c r="D16" s="10" t="s">
        <v>151</v>
      </c>
      <c r="E16" s="10" t="s">
        <v>152</v>
      </c>
      <c r="F16" s="10"/>
      <c r="G16" s="10"/>
      <c r="H16" s="10"/>
      <c r="I16" s="10"/>
      <c r="J16" s="11" t="n">
        <f aca="false">IFERROR(SUMPRODUCT((Stories!$C$2:$C$200=C16)*(Stories!$P$2:$P$200))/COUNTIF(Stories!$C$2:$C$200,C16),0)</f>
        <v>1</v>
      </c>
      <c r="K16" s="11" t="str">
        <f aca="false">IF(COUNTIFS(Stories!$C$2:$C$200,C16,Stories!$M$2:$M$200,"*Blocked*")&gt;0,"🚫 Blocked",IF(J16=1,"✅ Completed",IF(J16&gt;0,"🔄 In Progress","⏳ Planned")))</f>
        <v>✅ Completed</v>
      </c>
    </row>
    <row r="17" customFormat="false" ht="15" hidden="false" customHeight="true" outlineLevel="0" collapsed="false">
      <c r="A17" s="10" t="n">
        <v>16</v>
      </c>
      <c r="B17" s="10" t="s">
        <v>90</v>
      </c>
      <c r="C17" s="10" t="s">
        <v>153</v>
      </c>
      <c r="D17" s="10" t="s">
        <v>91</v>
      </c>
      <c r="E17" s="10" t="s">
        <v>154</v>
      </c>
      <c r="F17" s="10"/>
      <c r="G17" s="10"/>
      <c r="H17" s="10"/>
      <c r="I17" s="10"/>
      <c r="J17" s="11" t="n">
        <f aca="false">IFERROR(SUMPRODUCT((Stories!$C$2:$C$200=C17)*(Stories!$P$2:$P$200))/COUNTIF(Stories!$C$2:$C$200,C17),0)</f>
        <v>0</v>
      </c>
      <c r="K17" s="11" t="str">
        <f aca="false">IF(COUNTIFS(Stories!$C$2:$C$200,C17,Stories!$M$2:$M$200,"*Blocked*")&gt;0,"🚫 Blocked",IF(J17=1,"✅ Completed",IF(J17&gt;0,"🔄 In Progress","⏳ Planned")))</f>
        <v>⏳ Planned</v>
      </c>
    </row>
    <row r="18" customFormat="false" ht="15" hidden="false" customHeight="true" outlineLevel="0" collapsed="false">
      <c r="A18" s="10" t="n">
        <v>17</v>
      </c>
      <c r="B18" s="10" t="s">
        <v>93</v>
      </c>
      <c r="C18" s="10" t="s">
        <v>155</v>
      </c>
      <c r="D18" s="10" t="s">
        <v>156</v>
      </c>
      <c r="E18" s="10" t="s">
        <v>157</v>
      </c>
      <c r="F18" s="10"/>
      <c r="G18" s="10"/>
      <c r="H18" s="10"/>
      <c r="I18" s="10"/>
      <c r="J18" s="11" t="n">
        <f aca="false">IFERROR(SUMPRODUCT((Stories!$C$2:$C$200=C18)*(Stories!$P$2:$P$200))/COUNTIF(Stories!$C$2:$C$200,C18),0)</f>
        <v>0</v>
      </c>
      <c r="K18" s="11" t="str">
        <f aca="false">IF(COUNTIFS(Stories!$C$2:$C$200,C18,Stories!$M$2:$M$200,"*Blocked*")&gt;0,"🚫 Blocked",IF(J18=1,"✅ Completed",IF(J18&gt;0,"🔄 In Progress","⏳ Planned")))</f>
        <v>⏳ Planned</v>
      </c>
    </row>
    <row r="19" customFormat="false" ht="15" hidden="false" customHeight="true" outlineLevel="0" collapsed="false">
      <c r="A19" s="10" t="n">
        <v>18</v>
      </c>
      <c r="B19" s="10" t="s">
        <v>96</v>
      </c>
      <c r="C19" s="10" t="s">
        <v>158</v>
      </c>
      <c r="D19" s="10" t="s">
        <v>159</v>
      </c>
      <c r="E19" s="10" t="s">
        <v>160</v>
      </c>
      <c r="F19" s="10"/>
      <c r="G19" s="10"/>
      <c r="H19" s="10"/>
      <c r="I19" s="10"/>
      <c r="J19" s="11" t="n">
        <f aca="false">IFERROR(SUMPRODUCT((Stories!$C$2:$C$200=C19)*(Stories!$P$2:$P$200))/COUNTIF(Stories!$C$2:$C$200,C19),0)</f>
        <v>0</v>
      </c>
      <c r="K19" s="11" t="str">
        <f aca="false">IF(COUNTIFS(Stories!$C$2:$C$200,C19,Stories!$M$2:$M$200,"*Blocked*")&gt;0,"🚫 Blocked",IF(J19=1,"✅ Completed",IF(J19&gt;0,"🔄 In Progress","⏳ Planned")))</f>
        <v>⏳ Planned</v>
      </c>
    </row>
    <row r="20" customFormat="false" ht="15" hidden="false" customHeight="true" outlineLevel="0" collapsed="false">
      <c r="A20" s="10" t="n">
        <v>19</v>
      </c>
      <c r="B20" s="10" t="s">
        <v>99</v>
      </c>
      <c r="C20" s="10" t="s">
        <v>161</v>
      </c>
      <c r="D20" s="10" t="s">
        <v>162</v>
      </c>
      <c r="E20" s="10" t="s">
        <v>163</v>
      </c>
      <c r="F20" s="10"/>
      <c r="G20" s="10"/>
      <c r="H20" s="10"/>
      <c r="I20" s="10"/>
      <c r="J20" s="11" t="n">
        <f aca="false">IFERROR(SUMPRODUCT((Stories!$C$2:$C$200=C20)*(Stories!$P$2:$P$200))/COUNTIF(Stories!$C$2:$C$200,C20),0)</f>
        <v>0</v>
      </c>
      <c r="K20" s="11" t="str">
        <f aca="false">IF(COUNTIFS(Stories!$C$2:$C$200,C20,Stories!$M$2:$M$200,"*Blocked*")&gt;0,"🚫 Blocked",IF(J20=1,"✅ Completed",IF(J20&gt;0,"🔄 In Progress","⏳ Planned")))</f>
        <v>⏳ Planned</v>
      </c>
    </row>
    <row r="21" customFormat="false" ht="15" hidden="false" customHeight="true" outlineLevel="0" collapsed="false">
      <c r="A21" s="10" t="n">
        <v>20</v>
      </c>
      <c r="B21" s="10" t="s">
        <v>99</v>
      </c>
      <c r="C21" s="10" t="s">
        <v>164</v>
      </c>
      <c r="D21" s="10" t="s">
        <v>165</v>
      </c>
      <c r="E21" s="10" t="s">
        <v>166</v>
      </c>
      <c r="F21" s="10"/>
      <c r="G21" s="10"/>
      <c r="H21" s="10"/>
      <c r="I21" s="10"/>
      <c r="J21" s="11" t="n">
        <f aca="false">IFERROR(SUMPRODUCT((Stories!$C$2:$C$200=C21)*(Stories!$P$2:$P$200))/COUNTIF(Stories!$C$2:$C$200,C21),0)</f>
        <v>0</v>
      </c>
      <c r="K21" s="11" t="str">
        <f aca="false">IF(COUNTIFS(Stories!$C$2:$C$200,C21,Stories!$M$2:$M$200,"*Blocked*")&gt;0,"🚫 Blocked",IF(J21=1,"✅ Completed",IF(J21&gt;0,"🔄 In Progress","⏳ Planned")))</f>
        <v>⏳ Planned</v>
      </c>
    </row>
    <row r="22" customFormat="false" ht="15" hidden="false" customHeight="true" outlineLevel="0" collapsed="false">
      <c r="A22" s="10" t="n">
        <v>21</v>
      </c>
      <c r="B22" s="10" t="s">
        <v>102</v>
      </c>
      <c r="C22" s="10" t="s">
        <v>167</v>
      </c>
      <c r="D22" s="10" t="s">
        <v>168</v>
      </c>
      <c r="E22" s="10" t="s">
        <v>169</v>
      </c>
      <c r="F22" s="10"/>
      <c r="G22" s="10"/>
      <c r="H22" s="10"/>
      <c r="I22" s="10"/>
      <c r="J22" s="11" t="n">
        <f aca="false">IFERROR(SUMPRODUCT((Stories!$C$2:$C$200=C22)*(Stories!$P$2:$P$200))/COUNTIF(Stories!$C$2:$C$200,C22),0)</f>
        <v>0</v>
      </c>
      <c r="K22" s="11" t="str">
        <f aca="false">IF(COUNTIFS(Stories!$C$2:$C$200,C22,Stories!$M$2:$M$200,"*Blocked*")&gt;0,"🚫 Blocked",IF(J22=1,"✅ Completed",IF(J22&gt;0,"🔄 In Progress","⏳ Planned")))</f>
        <v>⏳ Planned</v>
      </c>
    </row>
    <row r="23" customFormat="false" ht="15" hidden="false" customHeight="true" outlineLevel="0" collapsed="false">
      <c r="A23" s="10" t="n">
        <v>22</v>
      </c>
      <c r="B23" s="10" t="s">
        <v>105</v>
      </c>
      <c r="C23" s="10" t="s">
        <v>170</v>
      </c>
      <c r="D23" s="10" t="s">
        <v>171</v>
      </c>
      <c r="E23" s="10" t="s">
        <v>172</v>
      </c>
      <c r="F23" s="10"/>
      <c r="G23" s="10"/>
      <c r="H23" s="10"/>
      <c r="I23" s="10"/>
      <c r="J23" s="11" t="n">
        <f aca="false">IFERROR(SUMPRODUCT((Stories!$C$2:$C$200=C23)*(Stories!$P$2:$P$200))/COUNTIF(Stories!$C$2:$C$200,C23),0)</f>
        <v>0</v>
      </c>
      <c r="K23" s="11" t="str">
        <f aca="false">IF(COUNTIFS(Stories!$C$2:$C$200,C23,Stories!$M$2:$M$200,"*Blocked*")&gt;0,"🚫 Blocked",IF(J23=1,"✅ Completed",IF(J23&gt;0,"🔄 In Progress","⏳ Planned")))</f>
        <v>⏳ Planned</v>
      </c>
    </row>
    <row r="24" customFormat="false" ht="15" hidden="false" customHeight="true" outlineLevel="0" collapsed="false">
      <c r="A24" s="10" t="n">
        <v>23</v>
      </c>
      <c r="B24" s="10" t="s">
        <v>81</v>
      </c>
      <c r="C24" s="10" t="s">
        <v>478</v>
      </c>
      <c r="D24" s="10" t="s">
        <v>479</v>
      </c>
      <c r="E24" s="10" t="s">
        <v>480</v>
      </c>
      <c r="F24" s="10"/>
      <c r="G24" s="10"/>
      <c r="H24" s="10"/>
      <c r="I24" s="10"/>
      <c r="J24" s="11" t="n">
        <f aca="false">IFERROR(SUMPRODUCT((Stories!$C$2:$C$200=C24)*(Stories!$P$2:$P$200))/COUNTIF(Stories!$C$2:$C$200,C24),0)</f>
        <v>1</v>
      </c>
      <c r="K24" s="11" t="str">
        <f aca="false">IF(COUNTIFS(Stories!$C$2:$C$200,C24,Stories!$M$2:$M$200,"*Blocked*")&gt;0,"🚫 Blocked",IF(J24=1,"✅ Completed",IF(J24&gt;0,"🔄 In Progress","⏳ Planned")))</f>
        <v>✅ Completed</v>
      </c>
    </row>
    <row r="25" customFormat="false" ht="15" hidden="false" customHeight="true" outlineLevel="0" collapsed="false">
      <c r="A25" s="10"/>
      <c r="B25" s="10"/>
      <c r="C25" s="10"/>
      <c r="D25" s="10"/>
      <c r="E25" s="10"/>
      <c r="F25" s="10"/>
      <c r="G25" s="10"/>
      <c r="H25" s="10"/>
      <c r="I25" s="10"/>
      <c r="J25" s="11"/>
      <c r="K25" s="11"/>
    </row>
    <row r="26" customFormat="false" ht="15" hidden="false" customHeight="true" outlineLevel="0" collapsed="false">
      <c r="A26" s="10"/>
      <c r="B26" s="10"/>
      <c r="C26" s="10"/>
      <c r="D26" s="10"/>
      <c r="E26" s="10"/>
      <c r="F26" s="10"/>
      <c r="G26" s="10"/>
      <c r="H26" s="10"/>
      <c r="I26" s="10"/>
      <c r="J26" s="11"/>
      <c r="K26" s="11"/>
    </row>
    <row r="27" customFormat="false" ht="15" hidden="false" customHeight="true" outlineLevel="0" collapsed="false">
      <c r="A27" s="10"/>
      <c r="B27" s="10"/>
      <c r="C27" s="10"/>
      <c r="D27" s="10"/>
      <c r="E27" s="10"/>
      <c r="F27" s="10"/>
      <c r="G27" s="10"/>
      <c r="H27" s="10"/>
      <c r="I27" s="10"/>
      <c r="J27" s="11"/>
      <c r="K27" s="11"/>
    </row>
    <row r="28" customFormat="false" ht="15" hidden="false" customHeight="true" outlineLevel="0" collapsed="false">
      <c r="A28" s="10"/>
      <c r="B28" s="10"/>
      <c r="C28" s="10"/>
      <c r="D28" s="10"/>
      <c r="E28" s="10"/>
      <c r="F28" s="10"/>
      <c r="G28" s="10"/>
      <c r="H28" s="10"/>
      <c r="I28" s="10"/>
      <c r="J28" s="11"/>
      <c r="K28" s="11"/>
    </row>
    <row r="29" customFormat="false" ht="15" hidden="false" customHeight="true" outlineLevel="0" collapsed="false">
      <c r="A29" s="10"/>
      <c r="B29" s="10"/>
      <c r="C29" s="10"/>
      <c r="D29" s="10"/>
      <c r="E29" s="10"/>
      <c r="F29" s="10"/>
      <c r="G29" s="10"/>
      <c r="H29" s="10"/>
      <c r="I29" s="10"/>
      <c r="J29" s="11"/>
      <c r="K29" s="11"/>
    </row>
    <row r="30" customFormat="false" ht="15" hidden="false" customHeight="true" outlineLevel="0" collapsed="false">
      <c r="A30" s="10"/>
      <c r="B30" s="10"/>
      <c r="C30" s="10"/>
      <c r="D30" s="10"/>
      <c r="E30" s="10"/>
      <c r="F30" s="10"/>
      <c r="G30" s="10"/>
      <c r="H30" s="10"/>
      <c r="I30" s="10"/>
      <c r="J30" s="11"/>
      <c r="K30" s="11"/>
    </row>
    <row r="31" customFormat="false" ht="15" hidden="false" customHeight="true" outlineLevel="0" collapsed="false">
      <c r="A31" s="10"/>
      <c r="B31" s="10"/>
      <c r="C31" s="10"/>
      <c r="D31" s="10"/>
      <c r="E31" s="10"/>
      <c r="F31" s="10"/>
      <c r="G31" s="10"/>
      <c r="H31" s="10"/>
      <c r="I31" s="10"/>
      <c r="J31" s="11"/>
      <c r="K31" s="11"/>
    </row>
    <row r="32" customFormat="false" ht="15" hidden="false" customHeight="true" outlineLevel="0" collapsed="false">
      <c r="A32" s="10"/>
      <c r="B32" s="10"/>
      <c r="C32" s="10"/>
      <c r="D32" s="10"/>
      <c r="E32" s="10"/>
      <c r="F32" s="10"/>
      <c r="G32" s="10"/>
      <c r="H32" s="10"/>
      <c r="I32" s="10"/>
      <c r="J32" s="11"/>
      <c r="K32" s="11"/>
    </row>
    <row r="33" customFormat="false" ht="15" hidden="false" customHeight="true" outlineLevel="0" collapsed="false">
      <c r="A33" s="10"/>
      <c r="B33" s="10"/>
      <c r="C33" s="10"/>
      <c r="D33" s="10"/>
      <c r="E33" s="10"/>
      <c r="F33" s="10"/>
      <c r="G33" s="10"/>
      <c r="H33" s="10"/>
      <c r="I33" s="10"/>
      <c r="J33" s="11"/>
      <c r="K33" s="11"/>
    </row>
    <row r="34" customFormat="false" ht="15" hidden="false" customHeight="true" outlineLevel="0" collapsed="false">
      <c r="A34" s="10"/>
      <c r="B34" s="10"/>
      <c r="C34" s="10"/>
      <c r="D34" s="10"/>
      <c r="E34" s="10"/>
      <c r="F34" s="10"/>
      <c r="G34" s="10"/>
      <c r="H34" s="10"/>
      <c r="I34" s="10"/>
      <c r="J34" s="11"/>
      <c r="K34" s="11"/>
    </row>
    <row r="35" customFormat="false" ht="15" hidden="false" customHeight="true" outlineLevel="0" collapsed="false">
      <c r="A35" s="10"/>
      <c r="B35" s="10"/>
      <c r="C35" s="10"/>
      <c r="D35" s="10"/>
      <c r="E35" s="10"/>
      <c r="F35" s="10"/>
      <c r="G35" s="10"/>
      <c r="H35" s="10"/>
      <c r="I35" s="10"/>
      <c r="J35" s="11"/>
      <c r="K35" s="11"/>
    </row>
    <row r="36" customFormat="false" ht="15" hidden="false" customHeight="true" outlineLevel="0" collapsed="false">
      <c r="A36" s="10"/>
      <c r="B36" s="10"/>
      <c r="C36" s="10"/>
      <c r="D36" s="10"/>
      <c r="E36" s="10"/>
      <c r="F36" s="10"/>
      <c r="G36" s="10"/>
      <c r="H36" s="10"/>
      <c r="I36" s="10"/>
      <c r="J36" s="11"/>
      <c r="K36" s="11"/>
    </row>
    <row r="37" customFormat="false" ht="15" hidden="false" customHeight="true" outlineLevel="0" collapsed="false">
      <c r="A37" s="10"/>
      <c r="B37" s="10"/>
      <c r="C37" s="10"/>
      <c r="D37" s="10"/>
      <c r="E37" s="10"/>
      <c r="F37" s="10"/>
      <c r="G37" s="10"/>
      <c r="H37" s="10"/>
      <c r="I37" s="10"/>
      <c r="J37" s="11"/>
      <c r="K37" s="11"/>
    </row>
    <row r="38" customFormat="false" ht="15" hidden="false" customHeight="true" outlineLevel="0" collapsed="false">
      <c r="A38" s="10"/>
      <c r="B38" s="10"/>
      <c r="C38" s="10"/>
      <c r="D38" s="10"/>
      <c r="E38" s="10"/>
      <c r="F38" s="10"/>
      <c r="G38" s="10"/>
      <c r="H38" s="10"/>
      <c r="I38" s="10"/>
      <c r="J38" s="11"/>
      <c r="K38" s="11"/>
    </row>
    <row r="39" customFormat="false" ht="15" hidden="false" customHeight="true" outlineLevel="0" collapsed="false">
      <c r="A39" s="10"/>
      <c r="B39" s="10"/>
      <c r="C39" s="10"/>
      <c r="D39" s="10"/>
      <c r="E39" s="10"/>
      <c r="F39" s="10"/>
      <c r="G39" s="10"/>
      <c r="H39" s="10"/>
      <c r="I39" s="10"/>
      <c r="J39" s="11"/>
      <c r="K39" s="11"/>
    </row>
    <row r="40" customFormat="false" ht="15" hidden="false" customHeight="true" outlineLevel="0" collapsed="false">
      <c r="A40" s="10"/>
      <c r="B40" s="10"/>
      <c r="C40" s="10"/>
      <c r="D40" s="10"/>
      <c r="E40" s="10"/>
      <c r="F40" s="10"/>
      <c r="G40" s="10"/>
      <c r="H40" s="10"/>
      <c r="I40" s="10"/>
      <c r="J40" s="11"/>
      <c r="K40" s="11"/>
    </row>
    <row r="41" customFormat="false" ht="15" hidden="false" customHeight="true" outlineLevel="0" collapsed="false">
      <c r="A41" s="10"/>
      <c r="B41" s="10"/>
      <c r="C41" s="10"/>
      <c r="D41" s="10"/>
      <c r="E41" s="10"/>
      <c r="F41" s="10"/>
      <c r="G41" s="10"/>
      <c r="H41" s="10"/>
      <c r="I41" s="10"/>
      <c r="J41" s="11"/>
      <c r="K41" s="11"/>
    </row>
    <row r="42" customFormat="false" ht="15" hidden="false" customHeight="true" outlineLevel="0" collapsed="false">
      <c r="A42" s="10"/>
      <c r="B42" s="10"/>
      <c r="C42" s="10"/>
      <c r="D42" s="10"/>
      <c r="E42" s="10"/>
      <c r="F42" s="10"/>
      <c r="G42" s="10"/>
      <c r="H42" s="10"/>
      <c r="I42" s="10"/>
      <c r="J42" s="11"/>
      <c r="K42" s="11"/>
    </row>
    <row r="43" customFormat="false" ht="15" hidden="false" customHeight="true" outlineLevel="0" collapsed="false">
      <c r="A43" s="10"/>
      <c r="B43" s="10"/>
      <c r="C43" s="10"/>
      <c r="D43" s="10"/>
      <c r="E43" s="10"/>
      <c r="F43" s="10"/>
      <c r="G43" s="10"/>
      <c r="H43" s="10"/>
      <c r="I43" s="10"/>
      <c r="J43" s="11"/>
      <c r="K43" s="11"/>
    </row>
    <row r="44" customFormat="false" ht="15" hidden="false" customHeight="true" outlineLevel="0" collapsed="false">
      <c r="A44" s="10"/>
      <c r="B44" s="10"/>
      <c r="C44" s="10"/>
      <c r="D44" s="10"/>
      <c r="E44" s="10"/>
      <c r="F44" s="10"/>
      <c r="G44" s="10"/>
      <c r="H44" s="10"/>
      <c r="I44" s="10"/>
      <c r="J44" s="11"/>
      <c r="K44" s="11"/>
    </row>
    <row r="45" customFormat="false" ht="15" hidden="false" customHeight="true" outlineLevel="0" collapsed="false">
      <c r="A45" s="10"/>
      <c r="B45" s="10"/>
      <c r="C45" s="10"/>
      <c r="D45" s="10"/>
      <c r="E45" s="10"/>
      <c r="F45" s="10"/>
      <c r="G45" s="10"/>
      <c r="H45" s="10"/>
      <c r="I45" s="10"/>
      <c r="J45" s="11"/>
      <c r="K45" s="11"/>
    </row>
    <row r="46" customFormat="false" ht="15" hidden="false" customHeight="true" outlineLevel="0" collapsed="false">
      <c r="A46" s="10"/>
      <c r="B46" s="10"/>
      <c r="C46" s="10"/>
      <c r="D46" s="10"/>
      <c r="E46" s="10"/>
      <c r="F46" s="10"/>
      <c r="G46" s="10"/>
      <c r="H46" s="10"/>
      <c r="I46" s="10"/>
      <c r="J46" s="11"/>
      <c r="K46" s="11"/>
    </row>
    <row r="47" customFormat="false" ht="15" hidden="false" customHeight="true" outlineLevel="0" collapsed="false">
      <c r="A47" s="10"/>
      <c r="B47" s="10"/>
      <c r="C47" s="10"/>
      <c r="D47" s="10"/>
      <c r="E47" s="10"/>
      <c r="F47" s="10"/>
      <c r="G47" s="10"/>
      <c r="H47" s="10"/>
      <c r="I47" s="10"/>
      <c r="J47" s="11"/>
      <c r="K47" s="11"/>
    </row>
    <row r="48" customFormat="false" ht="15" hidden="false" customHeight="true" outlineLevel="0" collapsed="false">
      <c r="A48" s="10"/>
      <c r="B48" s="10"/>
      <c r="C48" s="10"/>
      <c r="D48" s="10"/>
      <c r="E48" s="10"/>
      <c r="F48" s="10"/>
      <c r="G48" s="10"/>
      <c r="H48" s="10"/>
      <c r="I48" s="10"/>
      <c r="J48" s="11"/>
      <c r="K48" s="11"/>
    </row>
    <row r="49" customFormat="false" ht="15" hidden="false" customHeight="true" outlineLevel="0" collapsed="false">
      <c r="A49" s="10"/>
      <c r="B49" s="10"/>
      <c r="C49" s="10"/>
      <c r="D49" s="10"/>
      <c r="E49" s="10"/>
      <c r="F49" s="10"/>
      <c r="G49" s="10"/>
      <c r="H49" s="10"/>
      <c r="I49" s="10"/>
      <c r="J49" s="11"/>
      <c r="K49" s="11"/>
    </row>
    <row r="50" customFormat="false" ht="15" hidden="false" customHeight="true" outlineLevel="0" collapsed="false">
      <c r="A50" s="10"/>
      <c r="B50" s="10"/>
      <c r="C50" s="10"/>
      <c r="D50" s="10"/>
      <c r="E50" s="10"/>
      <c r="F50" s="10"/>
      <c r="G50" s="10"/>
      <c r="H50" s="10"/>
      <c r="I50" s="10"/>
      <c r="J50" s="11"/>
      <c r="K50" s="11"/>
    </row>
    <row r="51" customFormat="false" ht="15" hidden="false" customHeight="true" outlineLevel="0" collapsed="false">
      <c r="A51" s="10"/>
      <c r="B51" s="10"/>
      <c r="C51" s="10"/>
      <c r="D51" s="10"/>
      <c r="E51" s="10"/>
      <c r="F51" s="10"/>
      <c r="G51" s="10"/>
      <c r="H51" s="10"/>
      <c r="I51" s="10"/>
      <c r="J51" s="11"/>
      <c r="K51" s="11"/>
    </row>
    <row r="52" customFormat="false" ht="15" hidden="false" customHeight="true" outlineLevel="0" collapsed="false">
      <c r="A52" s="10"/>
      <c r="B52" s="10"/>
      <c r="C52" s="10"/>
      <c r="D52" s="10"/>
      <c r="E52" s="10"/>
      <c r="F52" s="10"/>
      <c r="G52" s="10"/>
      <c r="H52" s="10"/>
      <c r="I52" s="10"/>
      <c r="J52" s="11"/>
      <c r="K52" s="11"/>
    </row>
    <row r="53" customFormat="false" ht="15" hidden="false" customHeight="true" outlineLevel="0" collapsed="false">
      <c r="A53" s="10"/>
      <c r="B53" s="10"/>
      <c r="C53" s="10"/>
      <c r="D53" s="10"/>
      <c r="E53" s="10"/>
      <c r="F53" s="10"/>
      <c r="G53" s="10"/>
      <c r="H53" s="10"/>
      <c r="I53" s="10"/>
      <c r="J53" s="11"/>
      <c r="K53" s="11"/>
    </row>
    <row r="54" customFormat="false" ht="15" hidden="false" customHeight="true" outlineLevel="0" collapsed="false">
      <c r="A54" s="10"/>
      <c r="B54" s="10"/>
      <c r="C54" s="10"/>
      <c r="D54" s="10"/>
      <c r="E54" s="10"/>
      <c r="F54" s="10"/>
      <c r="G54" s="10"/>
      <c r="H54" s="10"/>
      <c r="I54" s="10"/>
      <c r="J54" s="11"/>
      <c r="K54" s="11"/>
    </row>
    <row r="55" customFormat="false" ht="15" hidden="false" customHeight="true" outlineLevel="0" collapsed="false">
      <c r="A55" s="10"/>
      <c r="B55" s="10"/>
      <c r="C55" s="10"/>
      <c r="D55" s="10"/>
      <c r="E55" s="10"/>
      <c r="F55" s="10"/>
      <c r="G55" s="10"/>
      <c r="H55" s="10"/>
      <c r="I55" s="10"/>
      <c r="J55" s="11"/>
      <c r="K55" s="11"/>
    </row>
    <row r="56" customFormat="false" ht="15" hidden="false" customHeight="true" outlineLevel="0" collapsed="false">
      <c r="A56" s="10"/>
      <c r="B56" s="10"/>
      <c r="C56" s="10"/>
      <c r="D56" s="10"/>
      <c r="E56" s="10"/>
      <c r="F56" s="10"/>
      <c r="G56" s="10"/>
      <c r="H56" s="10"/>
      <c r="I56" s="10"/>
      <c r="J56" s="11"/>
      <c r="K56" s="11"/>
    </row>
    <row r="57" customFormat="false" ht="15" hidden="false" customHeight="true" outlineLevel="0" collapsed="false">
      <c r="A57" s="10"/>
      <c r="B57" s="10"/>
      <c r="C57" s="10"/>
      <c r="D57" s="10"/>
      <c r="E57" s="10"/>
      <c r="F57" s="10"/>
      <c r="G57" s="10"/>
      <c r="H57" s="10"/>
      <c r="I57" s="10"/>
      <c r="J57" s="11"/>
      <c r="K57" s="11"/>
    </row>
    <row r="58" customFormat="false" ht="15" hidden="false" customHeight="true" outlineLevel="0" collapsed="false">
      <c r="A58" s="10"/>
      <c r="B58" s="10"/>
      <c r="C58" s="10"/>
      <c r="D58" s="10"/>
      <c r="E58" s="10"/>
      <c r="F58" s="10"/>
      <c r="G58" s="10"/>
      <c r="H58" s="10"/>
      <c r="I58" s="10"/>
      <c r="J58" s="11"/>
      <c r="K58" s="11"/>
    </row>
    <row r="59" customFormat="false" ht="30" hidden="false" customHeight="true" outlineLevel="0" collapsed="false"/>
    <row r="60" customFormat="false" ht="30" hidden="false" customHeight="true" outlineLevel="0" collapsed="false"/>
  </sheetData>
  <conditionalFormatting sqref="K2:K58">
    <cfRule type="expression" priority="2" aboveAverage="0" equalAverage="0" bottom="0" percent="0" rank="0" text="" dxfId="0">
      <formula>ISNUMBER(SEARCH("Completed",K2))</formula>
    </cfRule>
    <cfRule type="expression" priority="3" aboveAverage="0" equalAverage="0" bottom="0" percent="0" rank="0" text="" dxfId="0">
      <formula>ISNUMBER(SEARCH("Done",K2))</formula>
    </cfRule>
    <cfRule type="expression" priority="4" aboveAverage="0" equalAverage="0" bottom="0" percent="0" rank="0" text="" dxfId="1">
      <formula>ISNUMBER(SEARCH("Progress",K2))</formula>
    </cfRule>
    <cfRule type="expression" priority="5" aboveAverage="0" equalAverage="0" bottom="0" percent="0" rank="0" text="" dxfId="2">
      <formula>ISNUMBER(SEARCH("Blocked",K2))</formula>
    </cfRule>
    <cfRule type="expression" priority="6" aboveAverage="0" equalAverage="0" bottom="0" percent="0" rank="0" text="" dxfId="3">
      <formula>ISNUMBER(SEARCH("Planned",K2))</formula>
    </cfRule>
    <cfRule type="expression" priority="7" aboveAverage="0" equalAverage="0" bottom="0" percent="0" rank="0" text="" dxfId="3">
      <formula>ISNUMBER(SEARCH("Not Started",K2))</formula>
    </cfRule>
  </conditionalFormatting>
  <conditionalFormatting sqref="J2:J58">
    <cfRule type="dataBar" priority="8">
      <dataBar showValue="1" minLength="10" maxLength="90">
        <cfvo type="num" val="0"/>
        <cfvo type="num" val="100"/>
        <color rgb="FF638EC6"/>
      </dataBar>
      <extLst>
        <ext xmlns:x14="http://schemas.microsoft.com/office/spreadsheetml/2009/9/main" uri="{B025F937-C7B1-47D3-B67F-A62EFF666E3E}">
          <x14:id>{945090F8-E717-4AE8-91CE-6CC531F0F78E}</x14:id>
        </ext>
      </extLst>
    </cfRule>
    <cfRule type="dataBar" priority="9">
      <dataBar showValue="1" minLength="10" maxLength="90">
        <cfvo type="num" val="0"/>
        <cfvo type="num" val="100"/>
        <color rgb="FF638EC6"/>
      </dataBar>
      <extLst>
        <ext xmlns:x14="http://schemas.microsoft.com/office/spreadsheetml/2009/9/main" uri="{B025F937-C7B1-47D3-B67F-A62EFF666E3E}">
          <x14:id>{7C4B7630-ADF5-4832-8FB4-EA3252CB8FE1}</x14:id>
        </ext>
      </extLst>
    </cfRule>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extLst>
    <ext xmlns:x14="http://schemas.microsoft.com/office/spreadsheetml/2009/9/main" uri="{78C0D931-6437-407d-A8EE-F0AAD7539E65}">
      <x14:conditionalFormattings>
        <x14:conditionalFormatting xmlns:xm="http://schemas.microsoft.com/office/excel/2006/main">
          <x14:cfRule type="dataBar" id="{945090F8-E717-4AE8-91CE-6CC531F0F78E}">
            <x14:dataBar minLength="10" maxLength="90" axisPosition="none" gradient="true">
              <x14:cfvo type="num">
                <xm:f>0</xm:f>
              </x14:cfvo>
              <x14:cfvo type="num">
                <xm:f>100</xm:f>
              </x14:cfvo>
              <x14:negativeFillColor rgb="FF638EC6"/>
              <x14:axisColor rgb="FF000000"/>
            </x14:dataBar>
          </x14:cfRule>
          <x14:cfRule type="dataBar" id="{7C4B7630-ADF5-4832-8FB4-EA3252CB8FE1}">
            <x14:dataBar minLength="10" maxLength="90" axisPosition="none" gradient="true">
              <x14:cfvo type="num">
                <xm:f>0</xm:f>
              </x14:cfvo>
              <x14:cfvo type="num">
                <xm:f>100</xm:f>
              </x14:cfvo>
              <x14:negativeFillColor rgb="FF638EC6"/>
              <x14:axisColor rgb="FF000000"/>
            </x14:dataBar>
          </x14:cfRule>
          <xm:sqref>J2:J58</xm:sqref>
        </x14:conditionalFormatting>
      </x14:conditionalFormatting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6796875" defaultRowHeight="15" customHeight="false" zeroHeight="false" outlineLevelRow="0" outlineLevelCol="0"/>
  <cols>
    <col collapsed="false" customWidth="true" hidden="false" outlineLevel="0" max="2" min="1" style="0" width="10"/>
    <col collapsed="false" customWidth="true" hidden="false" outlineLevel="0" max="3" min="3" style="0" width="22"/>
    <col collapsed="false" customWidth="true" hidden="false" outlineLevel="0" max="4" min="4" style="0" width="58"/>
    <col collapsed="false" customWidth="true" hidden="false" outlineLevel="0" max="7" min="5" style="0" width="13"/>
    <col collapsed="false" customWidth="true" hidden="false" outlineLevel="0" max="8" min="8" style="0" width="15"/>
    <col collapsed="false" customWidth="true" hidden="false" outlineLevel="0" max="9" min="9" style="0" width="12"/>
    <col collapsed="false" customWidth="true" hidden="false" outlineLevel="0" max="10" min="10" style="0" width="16"/>
    <col collapsed="false" customWidth="true" hidden="false" outlineLevel="0" max="11" min="11" style="0" width="20"/>
    <col collapsed="false" customWidth="true" hidden="false" outlineLevel="0" max="12" min="12" style="0" width="12"/>
    <col collapsed="false" customWidth="true" hidden="false" outlineLevel="0" max="13" min="13" style="0" width="18"/>
  </cols>
  <sheetData>
    <row r="1" customFormat="false" ht="15" hidden="false" customHeight="true" outlineLevel="0" collapsed="false">
      <c r="A1" s="4" t="s">
        <v>173</v>
      </c>
      <c r="B1" s="4" t="s">
        <v>174</v>
      </c>
      <c r="C1" s="4" t="s">
        <v>175</v>
      </c>
      <c r="D1" s="4" t="s">
        <v>176</v>
      </c>
      <c r="E1" s="4" t="s">
        <v>59</v>
      </c>
      <c r="F1" s="4" t="s">
        <v>177</v>
      </c>
      <c r="G1" s="4" t="s">
        <v>178</v>
      </c>
      <c r="H1" s="4" t="s">
        <v>32</v>
      </c>
      <c r="I1" s="4" t="s">
        <v>18</v>
      </c>
      <c r="J1" s="4" t="s">
        <v>13</v>
      </c>
      <c r="K1" s="4" t="s">
        <v>179</v>
      </c>
      <c r="L1" s="4" t="s">
        <v>180</v>
      </c>
      <c r="M1" s="4" t="s">
        <v>181</v>
      </c>
    </row>
    <row r="2" customFormat="false" ht="26.25" hidden="false" customHeight="true" outlineLevel="0" collapsed="false">
      <c r="A2" s="10" t="s">
        <v>182</v>
      </c>
      <c r="B2" s="10" t="s">
        <v>183</v>
      </c>
      <c r="C2" s="10" t="s">
        <v>65</v>
      </c>
      <c r="D2" s="10" t="s">
        <v>184</v>
      </c>
      <c r="E2" s="10"/>
      <c r="F2" s="10"/>
      <c r="G2" s="10" t="n">
        <f aca="false">COUNTIF(Stories!$B$2:$B$200,A2)</f>
        <v>18</v>
      </c>
      <c r="H2" s="10" t="n">
        <f aca="false">SUMPRODUCT((Stories!$B$2:$B$200=A2)*(Stories!$P$2:$P$200))</f>
        <v>18</v>
      </c>
      <c r="I2" s="11" t="n">
        <f aca="false">IFERROR(H2/G2,0)</f>
        <v>1</v>
      </c>
      <c r="J2" s="11" t="str">
        <f aca="false">IF(COUNTIFS(Stories!$B$2:$B$200,A2,Stories!$M$2:$M$200,"*Blocked*")&gt;0,"🚫 Blocked",IF(I2=1,"✅ Completed",IF(I2&gt;0,"🔄 In Progress","⏳ Planned")))</f>
        <v>✅ Completed</v>
      </c>
      <c r="K2" s="10" t="s">
        <v>64</v>
      </c>
      <c r="L2" s="10" t="s">
        <v>45</v>
      </c>
      <c r="M2" s="10"/>
    </row>
    <row r="3" customFormat="false" ht="26.25" hidden="false" customHeight="true" outlineLevel="0" collapsed="false">
      <c r="A3" s="10" t="s">
        <v>27</v>
      </c>
      <c r="B3" s="10" t="s">
        <v>185</v>
      </c>
      <c r="C3" s="10" t="s">
        <v>67</v>
      </c>
      <c r="D3" s="10" t="s">
        <v>186</v>
      </c>
      <c r="E3" s="10"/>
      <c r="F3" s="10"/>
      <c r="G3" s="10" t="n">
        <f aca="false">COUNTIF(Stories!$B$2:$B$200,A3)</f>
        <v>4</v>
      </c>
      <c r="H3" s="10" t="n">
        <f aca="false">SUMPRODUCT((Stories!$B$2:$B$200=A3)*(Stories!$P$2:$P$200))</f>
        <v>4</v>
      </c>
      <c r="I3" s="11" t="n">
        <f aca="false">IFERROR(H3/G3,0)</f>
        <v>1</v>
      </c>
      <c r="J3" s="11" t="str">
        <f aca="false">IF(COUNTIFS(Stories!$B$2:$B$200,A3,Stories!$M$2:$M$200,"*Blocked*")&gt;0,"🚫 Blocked",IF(I3=1,"✅ Completed",IF(I3&gt;0,"🔄 In Progress","⏳ Planned")))</f>
        <v>✅ Completed</v>
      </c>
      <c r="K3" s="10" t="s">
        <v>24</v>
      </c>
      <c r="L3" s="10" t="s">
        <v>21</v>
      </c>
      <c r="M3" s="10"/>
    </row>
    <row r="4" customFormat="false" ht="26.25" hidden="false" customHeight="true" outlineLevel="0" collapsed="false">
      <c r="A4" s="10" t="s">
        <v>37</v>
      </c>
      <c r="B4" s="10" t="s">
        <v>187</v>
      </c>
      <c r="C4" s="10" t="s">
        <v>70</v>
      </c>
      <c r="D4" s="10" t="s">
        <v>188</v>
      </c>
      <c r="E4" s="10"/>
      <c r="F4" s="10"/>
      <c r="G4" s="10" t="n">
        <f aca="false">COUNTIF(Stories!$B$2:$B$200,A4)</f>
        <v>2</v>
      </c>
      <c r="H4" s="10" t="n">
        <f aca="false">SUMPRODUCT((Stories!$B$2:$B$200=A4)*(Stories!$P$2:$P$200))</f>
        <v>2</v>
      </c>
      <c r="I4" s="11" t="n">
        <f aca="false">IFERROR(H4/G4,0)</f>
        <v>1</v>
      </c>
      <c r="J4" s="11" t="str">
        <f aca="false">IF(COUNTIFS(Stories!$B$2:$B$200,A4,Stories!$M$2:$M$200,"*Blocked*")&gt;0,"🚫 Blocked",IF(I4=1,"✅ Completed",IF(I4&gt;0,"🔄 In Progress","⏳ Planned")))</f>
        <v>✅ Completed</v>
      </c>
      <c r="K4" s="10" t="s">
        <v>69</v>
      </c>
      <c r="L4" s="10" t="s">
        <v>21</v>
      </c>
      <c r="M4" s="10"/>
    </row>
    <row r="5" customFormat="false" ht="15" hidden="false" customHeight="true" outlineLevel="0" collapsed="false">
      <c r="A5" s="10" t="s">
        <v>189</v>
      </c>
      <c r="B5" s="10" t="s">
        <v>190</v>
      </c>
      <c r="C5" s="10" t="s">
        <v>73</v>
      </c>
      <c r="D5" s="10" t="s">
        <v>191</v>
      </c>
      <c r="E5" s="10"/>
      <c r="F5" s="10"/>
      <c r="G5" s="10" t="n">
        <f aca="false">COUNTIF(Stories!$B$2:$B$200,A5)</f>
        <v>2</v>
      </c>
      <c r="H5" s="10" t="n">
        <f aca="false">SUMPRODUCT((Stories!$B$2:$B$200=A5)*(Stories!$P$2:$P$200))</f>
        <v>2</v>
      </c>
      <c r="I5" s="11" t="n">
        <f aca="false">IFERROR(H5/G5,0)</f>
        <v>1</v>
      </c>
      <c r="J5" s="11" t="str">
        <f aca="false">IF(COUNTIFS(Stories!$B$2:$B$200,A5,Stories!$M$2:$M$200,"*Blocked*")&gt;0,"🚫 Blocked",IF(I5=1,"✅ Completed",IF(I5&gt;0,"🔄 In Progress","⏳ Planned")))</f>
        <v>✅ Completed</v>
      </c>
      <c r="K5" s="10" t="s">
        <v>72</v>
      </c>
      <c r="L5" s="10" t="s">
        <v>21</v>
      </c>
      <c r="M5" s="10"/>
    </row>
    <row r="6" customFormat="false" ht="15" hidden="false" customHeight="true" outlineLevel="0" collapsed="false">
      <c r="A6" s="10" t="s">
        <v>192</v>
      </c>
      <c r="B6" s="10" t="s">
        <v>193</v>
      </c>
      <c r="C6" s="10" t="s">
        <v>76</v>
      </c>
      <c r="D6" s="10" t="s">
        <v>194</v>
      </c>
      <c r="E6" s="10"/>
      <c r="F6" s="10"/>
      <c r="G6" s="10" t="n">
        <f aca="false">COUNTIF(Stories!$B$2:$B$200,A6)</f>
        <v>2</v>
      </c>
      <c r="H6" s="10" t="n">
        <f aca="false">SUMPRODUCT((Stories!$B$2:$B$200=A6)*(Stories!$P$2:$P$200))</f>
        <v>2</v>
      </c>
      <c r="I6" s="11" t="n">
        <f aca="false">IFERROR(H6/G6,0)</f>
        <v>1</v>
      </c>
      <c r="J6" s="11" t="str">
        <f aca="false">IF(COUNTIFS(Stories!$B$2:$B$200,A6,Stories!$M$2:$M$200,"*Blocked*")&gt;0,"🚫 Blocked",IF(I6=1,"✅ Completed",IF(I6&gt;0,"🔄 In Progress","⏳ Planned")))</f>
        <v>✅ Completed</v>
      </c>
      <c r="K6" s="10" t="s">
        <v>75</v>
      </c>
      <c r="L6" s="10" t="s">
        <v>21</v>
      </c>
      <c r="M6" s="10"/>
    </row>
    <row r="7" customFormat="false" ht="26.25" hidden="false" customHeight="true" outlineLevel="0" collapsed="false">
      <c r="A7" s="10" t="s">
        <v>195</v>
      </c>
      <c r="B7" s="10" t="s">
        <v>196</v>
      </c>
      <c r="C7" s="10" t="s">
        <v>79</v>
      </c>
      <c r="D7" s="10" t="s">
        <v>197</v>
      </c>
      <c r="E7" s="10"/>
      <c r="F7" s="10"/>
      <c r="G7" s="10" t="n">
        <f aca="false">COUNTIF(Stories!$B$2:$B$200,A7)</f>
        <v>2</v>
      </c>
      <c r="H7" s="10" t="n">
        <f aca="false">SUMPRODUCT((Stories!$B$2:$B$200=A7)*(Stories!$P$2:$P$200))</f>
        <v>2</v>
      </c>
      <c r="I7" s="11" t="n">
        <f aca="false">IFERROR(H7/G7,0)</f>
        <v>1</v>
      </c>
      <c r="J7" s="11" t="str">
        <f aca="false">IF(COUNTIFS(Stories!$B$2:$B$200,A7,Stories!$M$2:$M$200,"*Blocked*")&gt;0,"🚫 Blocked",IF(I7=1,"✅ Completed",IF(I7&gt;0,"🔄 In Progress","⏳ Planned")))</f>
        <v>✅ Completed</v>
      </c>
      <c r="K7" s="10" t="s">
        <v>78</v>
      </c>
      <c r="L7" s="10" t="s">
        <v>21</v>
      </c>
      <c r="M7" s="10"/>
    </row>
    <row r="8" customFormat="false" ht="26.25" hidden="false" customHeight="true" outlineLevel="0" collapsed="false">
      <c r="A8" s="10" t="s">
        <v>198</v>
      </c>
      <c r="B8" s="10" t="s">
        <v>199</v>
      </c>
      <c r="C8" s="10" t="s">
        <v>82</v>
      </c>
      <c r="D8" s="10" t="s">
        <v>200</v>
      </c>
      <c r="E8" s="10"/>
      <c r="F8" s="10"/>
      <c r="G8" s="10" t="n">
        <f aca="false">COUNTIF(Stories!$B$2:$B$200,A8)</f>
        <v>3</v>
      </c>
      <c r="H8" s="10" t="n">
        <f aca="false">SUMPRODUCT((Stories!$B$2:$B$200=A8)*(Stories!$P$2:$P$200))</f>
        <v>3</v>
      </c>
      <c r="I8" s="11" t="n">
        <f aca="false">IFERROR(H8/G8,0)</f>
        <v>1</v>
      </c>
      <c r="J8" s="11" t="str">
        <f aca="false">IF(COUNTIFS(Stories!$B$2:$B$200,A8,Stories!$M$2:$M$200,"*Blocked*")&gt;0,"🚫 Blocked",IF(I8=1,"✅ Completed",IF(I8&gt;0,"🔄 In Progress","⏳ Planned")))</f>
        <v>✅ Completed</v>
      </c>
      <c r="K8" s="10" t="s">
        <v>81</v>
      </c>
      <c r="L8" s="10" t="s">
        <v>21</v>
      </c>
      <c r="M8" s="10"/>
    </row>
    <row r="9" customFormat="false" ht="15" hidden="false" customHeight="true" outlineLevel="0" collapsed="false">
      <c r="A9" s="10" t="s">
        <v>201</v>
      </c>
      <c r="B9" s="10" t="s">
        <v>202</v>
      </c>
      <c r="C9" s="10" t="s">
        <v>85</v>
      </c>
      <c r="D9" s="10" t="s">
        <v>203</v>
      </c>
      <c r="E9" s="10"/>
      <c r="F9" s="10"/>
      <c r="G9" s="10" t="n">
        <f aca="false">COUNTIF(Stories!$B$2:$B$200,A9)</f>
        <v>2</v>
      </c>
      <c r="H9" s="10" t="n">
        <f aca="false">SUMPRODUCT((Stories!$B$2:$B$200=A9)*(Stories!$P$2:$P$200))</f>
        <v>2</v>
      </c>
      <c r="I9" s="11" t="n">
        <f aca="false">IFERROR(H9/G9,0)</f>
        <v>1</v>
      </c>
      <c r="J9" s="11" t="str">
        <f aca="false">IF(COUNTIFS(Stories!$B$2:$B$200,A9,Stories!$M$2:$M$200,"*Blocked*")&gt;0,"🚫 Blocked",IF(I9=1,"✅ Completed",IF(I9&gt;0,"🔄 In Progress","⏳ Planned")))</f>
        <v>✅ Completed</v>
      </c>
      <c r="K9" s="10" t="s">
        <v>84</v>
      </c>
      <c r="L9" s="10" t="s">
        <v>21</v>
      </c>
      <c r="M9" s="10"/>
    </row>
    <row r="10" customFormat="false" ht="15" hidden="false" customHeight="true" outlineLevel="0" collapsed="false">
      <c r="A10" s="10" t="s">
        <v>204</v>
      </c>
      <c r="B10" s="10" t="s">
        <v>205</v>
      </c>
      <c r="C10" s="10" t="s">
        <v>88</v>
      </c>
      <c r="D10" s="10" t="s">
        <v>206</v>
      </c>
      <c r="E10" s="10"/>
      <c r="F10" s="10"/>
      <c r="G10" s="10" t="n">
        <f aca="false">COUNTIF(Stories!$B$2:$B$200,A10)</f>
        <v>2</v>
      </c>
      <c r="H10" s="10" t="n">
        <f aca="false">SUMPRODUCT((Stories!$B$2:$B$200=A10)*(Stories!$P$2:$P$200))</f>
        <v>2</v>
      </c>
      <c r="I10" s="11" t="n">
        <f aca="false">IFERROR(H10/G10,0)</f>
        <v>1</v>
      </c>
      <c r="J10" s="11" t="str">
        <f aca="false">IF(COUNTIFS(Stories!$B$2:$B$200,A10,Stories!$M$2:$M$200,"*Blocked*")&gt;0,"🚫 Blocked",IF(I10=1,"✅ Completed",IF(I10&gt;0,"🔄 In Progress","⏳ Planned")))</f>
        <v>✅ Completed</v>
      </c>
      <c r="K10" s="10" t="s">
        <v>87</v>
      </c>
      <c r="L10" s="10" t="s">
        <v>21</v>
      </c>
      <c r="M10" s="10"/>
    </row>
    <row r="11" customFormat="false" ht="15" hidden="false" customHeight="true" outlineLevel="0" collapsed="false">
      <c r="A11" s="10" t="s">
        <v>207</v>
      </c>
      <c r="B11" s="10" t="s">
        <v>208</v>
      </c>
      <c r="C11" s="10" t="s">
        <v>91</v>
      </c>
      <c r="D11" s="10" t="s">
        <v>209</v>
      </c>
      <c r="E11" s="10"/>
      <c r="F11" s="10"/>
      <c r="G11" s="10" t="n">
        <f aca="false">COUNTIF(Stories!$B$2:$B$200,A11)</f>
        <v>2</v>
      </c>
      <c r="H11" s="10" t="n">
        <f aca="false">SUMPRODUCT((Stories!$B$2:$B$200=A11)*(Stories!$P$2:$P$200))</f>
        <v>0</v>
      </c>
      <c r="I11" s="11" t="n">
        <f aca="false">IFERROR(H11/G11,0)</f>
        <v>0</v>
      </c>
      <c r="J11" s="11" t="str">
        <f aca="false">IF(COUNTIFS(Stories!$B$2:$B$200,A11,Stories!$M$2:$M$200,"*Blocked*")&gt;0,"🚫 Blocked",IF(I11=1,"✅ Completed",IF(I11&gt;0,"🔄 In Progress","⏳ Planned")))</f>
        <v>⏳ Planned</v>
      </c>
      <c r="K11" s="10" t="s">
        <v>90</v>
      </c>
      <c r="L11" s="10" t="s">
        <v>21</v>
      </c>
      <c r="M11" s="10"/>
    </row>
    <row r="12" customFormat="false" ht="15" hidden="false" customHeight="true" outlineLevel="0" collapsed="false">
      <c r="A12" s="10" t="s">
        <v>210</v>
      </c>
      <c r="B12" s="10" t="s">
        <v>211</v>
      </c>
      <c r="C12" s="10" t="s">
        <v>94</v>
      </c>
      <c r="D12" s="10" t="s">
        <v>212</v>
      </c>
      <c r="E12" s="10"/>
      <c r="F12" s="10"/>
      <c r="G12" s="10" t="n">
        <f aca="false">COUNTIF(Stories!$B$2:$B$200,A12)</f>
        <v>2</v>
      </c>
      <c r="H12" s="10" t="n">
        <f aca="false">SUMPRODUCT((Stories!$B$2:$B$200=A12)*(Stories!$P$2:$P$200))</f>
        <v>0</v>
      </c>
      <c r="I12" s="11" t="n">
        <f aca="false">IFERROR(H12/G12,0)</f>
        <v>0</v>
      </c>
      <c r="J12" s="11" t="str">
        <f aca="false">IF(COUNTIFS(Stories!$B$2:$B$200,A12,Stories!$M$2:$M$200,"*Blocked*")&gt;0,"🚫 Blocked",IF(I12=1,"✅ Completed",IF(I12&gt;0,"🔄 In Progress","⏳ Planned")))</f>
        <v>⏳ Planned</v>
      </c>
      <c r="K12" s="10" t="s">
        <v>93</v>
      </c>
      <c r="L12" s="10" t="s">
        <v>21</v>
      </c>
      <c r="M12" s="10"/>
    </row>
    <row r="13" customFormat="false" ht="15" hidden="false" customHeight="true" outlineLevel="0" collapsed="false">
      <c r="A13" s="10" t="s">
        <v>213</v>
      </c>
      <c r="B13" s="10" t="s">
        <v>214</v>
      </c>
      <c r="C13" s="10" t="s">
        <v>97</v>
      </c>
      <c r="D13" s="10" t="s">
        <v>215</v>
      </c>
      <c r="E13" s="10"/>
      <c r="F13" s="10"/>
      <c r="G13" s="10" t="n">
        <f aca="false">COUNTIF(Stories!$B$2:$B$200,A13)</f>
        <v>2</v>
      </c>
      <c r="H13" s="10" t="n">
        <f aca="false">SUMPRODUCT((Stories!$B$2:$B$200=A13)*(Stories!$P$2:$P$200))</f>
        <v>0</v>
      </c>
      <c r="I13" s="11" t="n">
        <f aca="false">IFERROR(H13/G13,0)</f>
        <v>0</v>
      </c>
      <c r="J13" s="11" t="str">
        <f aca="false">IF(COUNTIFS(Stories!$B$2:$B$200,A13,Stories!$M$2:$M$200,"*Blocked*")&gt;0,"🚫 Blocked",IF(I13=1,"✅ Completed",IF(I13&gt;0,"🔄 In Progress","⏳ Planned")))</f>
        <v>⏳ Planned</v>
      </c>
      <c r="K13" s="10" t="s">
        <v>96</v>
      </c>
      <c r="L13" s="10" t="s">
        <v>21</v>
      </c>
      <c r="M13" s="10"/>
    </row>
    <row r="14" customFormat="false" ht="15" hidden="false" customHeight="true" outlineLevel="0" collapsed="false">
      <c r="A14" s="10" t="s">
        <v>216</v>
      </c>
      <c r="B14" s="10" t="s">
        <v>217</v>
      </c>
      <c r="C14" s="10" t="s">
        <v>218</v>
      </c>
      <c r="D14" s="10" t="s">
        <v>219</v>
      </c>
      <c r="E14" s="10"/>
      <c r="F14" s="10"/>
      <c r="G14" s="10" t="n">
        <f aca="false">COUNTIF(Stories!$B$2:$B$200,A14)</f>
        <v>2</v>
      </c>
      <c r="H14" s="10" t="n">
        <f aca="false">SUMPRODUCT((Stories!$B$2:$B$200=A14)*(Stories!$P$2:$P$200))</f>
        <v>0</v>
      </c>
      <c r="I14" s="11" t="n">
        <f aca="false">IFERROR(H14/G14,0)</f>
        <v>0</v>
      </c>
      <c r="J14" s="11" t="str">
        <f aca="false">IF(COUNTIFS(Stories!$B$2:$B$200,A14,Stories!$M$2:$M$200,"*Blocked*")&gt;0,"🚫 Blocked",IF(I14=1,"✅ Completed",IF(I14&gt;0,"🔄 In Progress","⏳ Planned")))</f>
        <v>⏳ Planned</v>
      </c>
      <c r="K14" s="10" t="s">
        <v>99</v>
      </c>
      <c r="L14" s="10" t="s">
        <v>50</v>
      </c>
      <c r="M14" s="10"/>
    </row>
    <row r="15" customFormat="false" ht="15" hidden="false" customHeight="true" outlineLevel="0" collapsed="false">
      <c r="A15" s="10" t="s">
        <v>220</v>
      </c>
      <c r="B15" s="10" t="s">
        <v>221</v>
      </c>
      <c r="C15" s="10" t="s">
        <v>103</v>
      </c>
      <c r="D15" s="10" t="s">
        <v>222</v>
      </c>
      <c r="E15" s="10"/>
      <c r="F15" s="10"/>
      <c r="G15" s="10" t="n">
        <f aca="false">COUNTIF(Stories!$B$2:$B$200,A15)</f>
        <v>1</v>
      </c>
      <c r="H15" s="10" t="n">
        <f aca="false">SUMPRODUCT((Stories!$B$2:$B$200=A15)*(Stories!$P$2:$P$200))</f>
        <v>0</v>
      </c>
      <c r="I15" s="11" t="n">
        <f aca="false">IFERROR(H15/G15,0)</f>
        <v>0</v>
      </c>
      <c r="J15" s="11" t="str">
        <f aca="false">IF(COUNTIFS(Stories!$B$2:$B$200,A15,Stories!$M$2:$M$200,"*Blocked*")&gt;0,"🚫 Blocked",IF(I15=1,"✅ Completed",IF(I15&gt;0,"🔄 In Progress","⏳ Planned")))</f>
        <v>⏳ Planned</v>
      </c>
      <c r="K15" s="10" t="s">
        <v>102</v>
      </c>
      <c r="L15" s="10" t="s">
        <v>50</v>
      </c>
      <c r="M15" s="10"/>
    </row>
    <row r="16" customFormat="false" ht="15" hidden="false" customHeight="true" outlineLevel="0" collapsed="false">
      <c r="A16" s="10" t="s">
        <v>223</v>
      </c>
      <c r="B16" s="10" t="s">
        <v>224</v>
      </c>
      <c r="C16" s="10" t="s">
        <v>54</v>
      </c>
      <c r="D16" s="10" t="s">
        <v>225</v>
      </c>
      <c r="E16" s="10"/>
      <c r="F16" s="10"/>
      <c r="G16" s="10" t="n">
        <f aca="false">COUNTIF(Stories!$B$2:$B$200,A16)</f>
        <v>1</v>
      </c>
      <c r="H16" s="10" t="n">
        <f aca="false">SUMPRODUCT((Stories!$B$2:$B$200=A16)*(Stories!$P$2:$P$200))</f>
        <v>0</v>
      </c>
      <c r="I16" s="11" t="n">
        <f aca="false">IFERROR(H16/G16,0)</f>
        <v>0</v>
      </c>
      <c r="J16" s="11" t="str">
        <f aca="false">IF(COUNTIFS(Stories!$B$2:$B$200,A16,Stories!$M$2:$M$200,"*Blocked*")&gt;0,"🚫 Blocked",IF(I16=1,"✅ Completed",IF(I16&gt;0,"🔄 In Progress","⏳ Planned")))</f>
        <v>⏳ Planned</v>
      </c>
      <c r="K16" s="10" t="s">
        <v>105</v>
      </c>
      <c r="L16" s="10" t="s">
        <v>53</v>
      </c>
      <c r="M16" s="10"/>
    </row>
    <row r="17" customFormat="false" ht="15" hidden="false" customHeight="true" outlineLevel="0" collapsed="false">
      <c r="A17" s="10"/>
      <c r="B17" s="10"/>
      <c r="C17" s="10"/>
      <c r="D17" s="10"/>
      <c r="E17" s="10"/>
      <c r="F17" s="10"/>
      <c r="G17" s="10"/>
      <c r="H17" s="10"/>
      <c r="I17" s="11"/>
      <c r="J17" s="11"/>
      <c r="K17" s="10"/>
      <c r="L17" s="10"/>
      <c r="M17" s="10"/>
    </row>
    <row r="18" customFormat="false" ht="15" hidden="false" customHeight="true" outlineLevel="0" collapsed="false">
      <c r="A18" s="10"/>
      <c r="B18" s="10"/>
      <c r="C18" s="10"/>
      <c r="D18" s="10"/>
      <c r="E18" s="10"/>
      <c r="F18" s="10"/>
      <c r="G18" s="10"/>
      <c r="H18" s="10"/>
      <c r="I18" s="11"/>
      <c r="J18" s="11"/>
      <c r="K18" s="10"/>
      <c r="L18" s="10"/>
      <c r="M18" s="10"/>
    </row>
    <row r="19" customFormat="false" ht="15" hidden="false" customHeight="true" outlineLevel="0" collapsed="false">
      <c r="A19" s="10"/>
      <c r="B19" s="10"/>
      <c r="C19" s="10"/>
      <c r="D19" s="10"/>
      <c r="E19" s="10"/>
      <c r="F19" s="10"/>
      <c r="G19" s="10"/>
      <c r="H19" s="10"/>
      <c r="I19" s="11"/>
      <c r="J19" s="11"/>
      <c r="K19" s="10"/>
      <c r="L19" s="10"/>
      <c r="M19" s="10"/>
    </row>
    <row r="20" customFormat="false" ht="15" hidden="false" customHeight="true" outlineLevel="0" collapsed="false">
      <c r="A20" s="10"/>
      <c r="B20" s="10"/>
      <c r="C20" s="10"/>
      <c r="D20" s="10"/>
      <c r="E20" s="10"/>
      <c r="F20" s="10"/>
      <c r="G20" s="10"/>
      <c r="H20" s="10"/>
      <c r="I20" s="11"/>
      <c r="J20" s="11"/>
      <c r="K20" s="10"/>
      <c r="L20" s="10"/>
      <c r="M20" s="10"/>
    </row>
    <row r="21" customFormat="false" ht="15" hidden="false" customHeight="true" outlineLevel="0" collapsed="false">
      <c r="A21" s="10"/>
      <c r="B21" s="10"/>
      <c r="C21" s="10"/>
      <c r="D21" s="10"/>
      <c r="E21" s="10"/>
      <c r="F21" s="10"/>
      <c r="G21" s="10"/>
      <c r="H21" s="10"/>
      <c r="I21" s="11"/>
      <c r="J21" s="11"/>
      <c r="K21" s="10"/>
      <c r="L21" s="10"/>
      <c r="M21" s="10"/>
    </row>
    <row r="22" customFormat="false" ht="15" hidden="false" customHeight="true" outlineLevel="0" collapsed="false">
      <c r="A22" s="10"/>
      <c r="B22" s="10"/>
      <c r="C22" s="10"/>
      <c r="D22" s="10"/>
      <c r="E22" s="10"/>
      <c r="F22" s="10"/>
      <c r="G22" s="10"/>
      <c r="H22" s="10"/>
      <c r="I22" s="11"/>
      <c r="J22" s="11"/>
      <c r="K22" s="10"/>
      <c r="L22" s="10"/>
      <c r="M22" s="10"/>
    </row>
    <row r="23" customFormat="false" ht="15" hidden="false" customHeight="true" outlineLevel="0" collapsed="false">
      <c r="A23" s="10"/>
      <c r="B23" s="10"/>
      <c r="C23" s="10"/>
      <c r="D23" s="10"/>
      <c r="E23" s="10"/>
      <c r="F23" s="10"/>
      <c r="G23" s="10"/>
      <c r="H23" s="10"/>
      <c r="I23" s="11"/>
      <c r="J23" s="11"/>
      <c r="K23" s="10"/>
      <c r="L23" s="10"/>
      <c r="M23" s="10"/>
    </row>
    <row r="24" customFormat="false" ht="15" hidden="false" customHeight="true" outlineLevel="0" collapsed="false">
      <c r="A24" s="10"/>
      <c r="B24" s="10"/>
      <c r="C24" s="10"/>
      <c r="D24" s="10"/>
      <c r="E24" s="10"/>
      <c r="F24" s="10"/>
      <c r="G24" s="10"/>
      <c r="H24" s="10"/>
      <c r="I24" s="11"/>
      <c r="J24" s="11"/>
      <c r="K24" s="10"/>
      <c r="L24" s="10"/>
      <c r="M24" s="10"/>
    </row>
    <row r="25" customFormat="false" ht="15" hidden="false" customHeight="true" outlineLevel="0" collapsed="false">
      <c r="A25" s="10"/>
      <c r="B25" s="10"/>
      <c r="C25" s="10"/>
      <c r="D25" s="10"/>
      <c r="E25" s="10"/>
      <c r="F25" s="10"/>
      <c r="G25" s="10"/>
      <c r="H25" s="10"/>
      <c r="I25" s="11"/>
      <c r="J25" s="11"/>
      <c r="K25" s="10"/>
      <c r="L25" s="10"/>
      <c r="M25" s="10"/>
    </row>
    <row r="26" customFormat="false" ht="15" hidden="false" customHeight="true" outlineLevel="0" collapsed="false">
      <c r="A26" s="10"/>
      <c r="B26" s="10"/>
      <c r="C26" s="10"/>
      <c r="D26" s="10"/>
      <c r="E26" s="10"/>
      <c r="F26" s="10"/>
      <c r="G26" s="10"/>
      <c r="H26" s="10"/>
      <c r="I26" s="11"/>
      <c r="J26" s="11"/>
      <c r="K26" s="10"/>
      <c r="L26" s="10"/>
      <c r="M26" s="10"/>
    </row>
    <row r="27" customFormat="false" ht="30" hidden="false" customHeight="true" outlineLevel="0" collapsed="false"/>
    <row r="28" customFormat="false" ht="30" hidden="false" customHeight="true" outlineLevel="0" collapsed="false"/>
    <row r="29" customFormat="false" ht="30" hidden="false" customHeight="true" outlineLevel="0" collapsed="false"/>
  </sheetData>
  <conditionalFormatting sqref="J2:J26">
    <cfRule type="expression" priority="2" aboveAverage="0" equalAverage="0" bottom="0" percent="0" rank="0" text="" dxfId="0">
      <formula>ISNUMBER(SEARCH("Completed",J2))</formula>
    </cfRule>
    <cfRule type="expression" priority="3" aboveAverage="0" equalAverage="0" bottom="0" percent="0" rank="0" text="" dxfId="0">
      <formula>ISNUMBER(SEARCH("Done",J2))</formula>
    </cfRule>
    <cfRule type="expression" priority="4" aboveAverage="0" equalAverage="0" bottom="0" percent="0" rank="0" text="" dxfId="1">
      <formula>ISNUMBER(SEARCH("Progress",J2))</formula>
    </cfRule>
    <cfRule type="expression" priority="5" aboveAverage="0" equalAverage="0" bottom="0" percent="0" rank="0" text="" dxfId="2">
      <formula>ISNUMBER(SEARCH("Blocked",J2))</formula>
    </cfRule>
    <cfRule type="expression" priority="6" aboveAverage="0" equalAverage="0" bottom="0" percent="0" rank="0" text="" dxfId="3">
      <formula>ISNUMBER(SEARCH("Planned",J2))</formula>
    </cfRule>
    <cfRule type="expression" priority="7" aboveAverage="0" equalAverage="0" bottom="0" percent="0" rank="0" text="" dxfId="3">
      <formula>ISNUMBER(SEARCH("Not Started",J2))</formula>
    </cfRule>
  </conditionalFormatting>
  <conditionalFormatting sqref="I2:I26">
    <cfRule type="dataBar" priority="8">
      <dataBar showValue="1" minLength="10" maxLength="90">
        <cfvo type="num" val="0"/>
        <cfvo type="num" val="100"/>
        <color rgb="FF638EC6"/>
      </dataBar>
      <extLst>
        <ext xmlns:x14="http://schemas.microsoft.com/office/spreadsheetml/2009/9/main" uri="{B025F937-C7B1-47D3-B67F-A62EFF666E3E}">
          <x14:id>{B170ECE5-AC5A-4B46-BCEF-6FD019D087B8}</x14:id>
        </ext>
      </extLst>
    </cfRule>
    <cfRule type="dataBar" priority="9">
      <dataBar showValue="1" minLength="10" maxLength="90">
        <cfvo type="num" val="0"/>
        <cfvo type="num" val="100"/>
        <color rgb="FF638EC6"/>
      </dataBar>
      <extLst>
        <ext xmlns:x14="http://schemas.microsoft.com/office/spreadsheetml/2009/9/main" uri="{B025F937-C7B1-47D3-B67F-A62EFF666E3E}">
          <x14:id>{2C17D1E0-00CC-4AAB-A2C3-452343B47052}</x14:id>
        </ext>
      </extLst>
    </cfRule>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extLst>
    <ext xmlns:x14="http://schemas.microsoft.com/office/spreadsheetml/2009/9/main" uri="{78C0D931-6437-407d-A8EE-F0AAD7539E65}">
      <x14:conditionalFormattings>
        <x14:conditionalFormatting xmlns:xm="http://schemas.microsoft.com/office/excel/2006/main">
          <x14:cfRule type="dataBar" id="{B170ECE5-AC5A-4B46-BCEF-6FD019D087B8}">
            <x14:dataBar minLength="10" maxLength="90" axisPosition="none" gradient="true">
              <x14:cfvo type="num">
                <xm:f>0</xm:f>
              </x14:cfvo>
              <x14:cfvo type="num">
                <xm:f>100</xm:f>
              </x14:cfvo>
              <x14:negativeFillColor rgb="FF638EC6"/>
              <x14:axisColor rgb="FF000000"/>
            </x14:dataBar>
          </x14:cfRule>
          <x14:cfRule type="dataBar" id="{2C17D1E0-00CC-4AAB-A2C3-452343B47052}">
            <x14:dataBar minLength="10" maxLength="90" axisPosition="none" gradient="true">
              <x14:cfvo type="num">
                <xm:f>0</xm:f>
              </x14:cfvo>
              <x14:cfvo type="num">
                <xm:f>100</xm:f>
              </x14:cfvo>
              <x14:negativeFillColor rgb="FF638EC6"/>
              <x14:axisColor rgb="FF000000"/>
            </x14:dataBar>
          </x14:cfRule>
          <xm:sqref>I2:I26</xm:sqref>
        </x14:conditionalFormatting>
      </x14:conditionalFormatting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5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6796875" defaultRowHeight="15" customHeight="false" zeroHeight="false" outlineLevelRow="0" outlineLevelCol="0"/>
  <cols>
    <col collapsed="false" customWidth="true" hidden="false" outlineLevel="0" max="1" min="1" style="0" width="12"/>
    <col collapsed="false" customWidth="true" hidden="false" outlineLevel="0" max="3" min="2" style="0" width="14"/>
  </cols>
  <sheetData>
    <row r="1" customFormat="false" ht="15" hidden="false" customHeight="true" outlineLevel="0" collapsed="false">
      <c r="A1" s="4" t="s">
        <v>173</v>
      </c>
      <c r="B1" s="4" t="s">
        <v>110</v>
      </c>
      <c r="C1" s="4" t="s">
        <v>109</v>
      </c>
    </row>
    <row r="2" customFormat="false" ht="15" hidden="false" customHeight="true" outlineLevel="0" collapsed="false">
      <c r="A2" s="10" t="s">
        <v>182</v>
      </c>
      <c r="B2" s="10" t="s">
        <v>112</v>
      </c>
      <c r="C2" s="10" t="s">
        <v>64</v>
      </c>
    </row>
    <row r="3" customFormat="false" ht="15" hidden="false" customHeight="true" outlineLevel="0" collapsed="false">
      <c r="A3" s="10" t="s">
        <v>27</v>
      </c>
      <c r="B3" s="10" t="s">
        <v>114</v>
      </c>
      <c r="C3" s="10" t="s">
        <v>24</v>
      </c>
    </row>
    <row r="4" customFormat="false" ht="15" hidden="false" customHeight="true" outlineLevel="0" collapsed="false">
      <c r="A4" s="10" t="s">
        <v>27</v>
      </c>
      <c r="B4" s="10" t="s">
        <v>117</v>
      </c>
      <c r="C4" s="10" t="s">
        <v>24</v>
      </c>
    </row>
    <row r="5" customFormat="false" ht="15" hidden="false" customHeight="true" outlineLevel="0" collapsed="false">
      <c r="A5" s="10" t="s">
        <v>27</v>
      </c>
      <c r="B5" s="10" t="s">
        <v>120</v>
      </c>
      <c r="C5" s="10" t="s">
        <v>24</v>
      </c>
    </row>
    <row r="6" customFormat="false" ht="15" hidden="false" customHeight="true" outlineLevel="0" collapsed="false">
      <c r="A6" s="10" t="s">
        <v>37</v>
      </c>
      <c r="B6" s="10" t="s">
        <v>123</v>
      </c>
      <c r="C6" s="10" t="s">
        <v>69</v>
      </c>
    </row>
    <row r="7" customFormat="false" ht="15" hidden="false" customHeight="true" outlineLevel="0" collapsed="false">
      <c r="A7" s="10" t="s">
        <v>189</v>
      </c>
      <c r="B7" s="10" t="s">
        <v>125</v>
      </c>
      <c r="C7" s="10" t="s">
        <v>72</v>
      </c>
    </row>
    <row r="8" customFormat="false" ht="15" hidden="false" customHeight="true" outlineLevel="0" collapsed="false">
      <c r="A8" s="10" t="s">
        <v>192</v>
      </c>
      <c r="B8" s="10" t="s">
        <v>127</v>
      </c>
      <c r="C8" s="10" t="s">
        <v>75</v>
      </c>
    </row>
    <row r="9" customFormat="false" ht="15" hidden="false" customHeight="true" outlineLevel="0" collapsed="false">
      <c r="A9" s="10" t="s">
        <v>192</v>
      </c>
      <c r="B9" s="10" t="s">
        <v>129</v>
      </c>
      <c r="C9" s="10" t="s">
        <v>75</v>
      </c>
    </row>
    <row r="10" customFormat="false" ht="15" hidden="false" customHeight="true" outlineLevel="0" collapsed="false">
      <c r="A10" s="10" t="s">
        <v>195</v>
      </c>
      <c r="B10" s="10" t="s">
        <v>132</v>
      </c>
      <c r="C10" s="10" t="s">
        <v>78</v>
      </c>
    </row>
    <row r="11" customFormat="false" ht="15" hidden="false" customHeight="true" outlineLevel="0" collapsed="false">
      <c r="A11" s="10" t="s">
        <v>195</v>
      </c>
      <c r="B11" s="10" t="s">
        <v>135</v>
      </c>
      <c r="C11" s="10" t="s">
        <v>78</v>
      </c>
    </row>
    <row r="12" customFormat="false" ht="15" hidden="false" customHeight="true" outlineLevel="0" collapsed="false">
      <c r="A12" s="10" t="s">
        <v>198</v>
      </c>
      <c r="B12" s="10" t="s">
        <v>138</v>
      </c>
      <c r="C12" s="10" t="s">
        <v>81</v>
      </c>
    </row>
    <row r="13" customFormat="false" ht="15" hidden="false" customHeight="true" outlineLevel="0" collapsed="false">
      <c r="A13" s="10" t="s">
        <v>198</v>
      </c>
      <c r="B13" s="10" t="s">
        <v>141</v>
      </c>
      <c r="C13" s="10" t="s">
        <v>81</v>
      </c>
    </row>
    <row r="14" customFormat="false" ht="15" hidden="false" customHeight="true" outlineLevel="0" collapsed="false">
      <c r="A14" s="10" t="s">
        <v>201</v>
      </c>
      <c r="B14" s="10" t="s">
        <v>144</v>
      </c>
      <c r="C14" s="10" t="s">
        <v>84</v>
      </c>
    </row>
    <row r="15" customFormat="false" ht="15" hidden="false" customHeight="true" outlineLevel="0" collapsed="false">
      <c r="A15" s="10" t="s">
        <v>201</v>
      </c>
      <c r="B15" s="10" t="s">
        <v>147</v>
      </c>
      <c r="C15" s="10" t="s">
        <v>84</v>
      </c>
    </row>
    <row r="16" customFormat="false" ht="15" hidden="false" customHeight="true" outlineLevel="0" collapsed="false">
      <c r="A16" s="10" t="s">
        <v>204</v>
      </c>
      <c r="B16" s="10" t="s">
        <v>150</v>
      </c>
      <c r="C16" s="10" t="s">
        <v>87</v>
      </c>
    </row>
    <row r="17" customFormat="false" ht="15" hidden="false" customHeight="true" outlineLevel="0" collapsed="false">
      <c r="A17" s="10" t="s">
        <v>207</v>
      </c>
      <c r="B17" s="10" t="s">
        <v>153</v>
      </c>
      <c r="C17" s="10" t="s">
        <v>90</v>
      </c>
    </row>
    <row r="18" customFormat="false" ht="15" hidden="false" customHeight="true" outlineLevel="0" collapsed="false">
      <c r="A18" s="10" t="s">
        <v>210</v>
      </c>
      <c r="B18" s="10" t="s">
        <v>155</v>
      </c>
      <c r="C18" s="10" t="s">
        <v>93</v>
      </c>
    </row>
    <row r="19" customFormat="false" ht="15" hidden="false" customHeight="true" outlineLevel="0" collapsed="false">
      <c r="A19" s="10" t="s">
        <v>213</v>
      </c>
      <c r="B19" s="10" t="s">
        <v>158</v>
      </c>
      <c r="C19" s="10" t="s">
        <v>96</v>
      </c>
    </row>
    <row r="20" customFormat="false" ht="15" hidden="false" customHeight="true" outlineLevel="0" collapsed="false">
      <c r="A20" s="10" t="s">
        <v>216</v>
      </c>
      <c r="B20" s="10" t="s">
        <v>161</v>
      </c>
      <c r="C20" s="10" t="s">
        <v>99</v>
      </c>
    </row>
    <row r="21" customFormat="false" ht="15" hidden="false" customHeight="true" outlineLevel="0" collapsed="false">
      <c r="A21" s="10" t="s">
        <v>216</v>
      </c>
      <c r="B21" s="10" t="s">
        <v>164</v>
      </c>
      <c r="C21" s="10" t="s">
        <v>99</v>
      </c>
    </row>
    <row r="22" customFormat="false" ht="15" hidden="false" customHeight="true" outlineLevel="0" collapsed="false">
      <c r="A22" s="10" t="s">
        <v>220</v>
      </c>
      <c r="B22" s="10" t="s">
        <v>167</v>
      </c>
      <c r="C22" s="10" t="s">
        <v>102</v>
      </c>
    </row>
    <row r="23" customFormat="false" ht="15" hidden="false" customHeight="true" outlineLevel="0" collapsed="false">
      <c r="A23" s="10" t="s">
        <v>223</v>
      </c>
      <c r="B23" s="10" t="s">
        <v>170</v>
      </c>
      <c r="C23" s="10" t="s">
        <v>105</v>
      </c>
    </row>
    <row r="24" customFormat="false" ht="15" hidden="false" customHeight="true" outlineLevel="0" collapsed="false">
      <c r="A24" s="10"/>
      <c r="B24" s="10"/>
      <c r="C24" s="10"/>
    </row>
    <row r="25" customFormat="false" ht="15" hidden="false" customHeight="true" outlineLevel="0" collapsed="false">
      <c r="A25" s="10"/>
      <c r="B25" s="10"/>
      <c r="C25" s="10"/>
    </row>
    <row r="26" customFormat="false" ht="15" hidden="false" customHeight="true" outlineLevel="0" collapsed="false">
      <c r="A26" s="10"/>
      <c r="B26" s="10"/>
      <c r="C26" s="10"/>
    </row>
    <row r="27" customFormat="false" ht="15" hidden="false" customHeight="true" outlineLevel="0" collapsed="false">
      <c r="A27" s="10"/>
      <c r="B27" s="10"/>
      <c r="C27" s="10"/>
    </row>
    <row r="28" customFormat="false" ht="15" hidden="false" customHeight="true" outlineLevel="0" collapsed="false">
      <c r="A28" s="10"/>
      <c r="B28" s="10"/>
      <c r="C28" s="10"/>
    </row>
    <row r="29" customFormat="false" ht="15" hidden="false" customHeight="true" outlineLevel="0" collapsed="false">
      <c r="A29" s="10"/>
      <c r="B29" s="10"/>
      <c r="C29" s="10"/>
    </row>
    <row r="30" customFormat="false" ht="15" hidden="false" customHeight="true" outlineLevel="0" collapsed="false">
      <c r="A30" s="10"/>
      <c r="B30" s="10"/>
      <c r="C30" s="10"/>
    </row>
    <row r="31" customFormat="false" ht="15" hidden="false" customHeight="true" outlineLevel="0" collapsed="false">
      <c r="A31" s="10"/>
      <c r="B31" s="10"/>
      <c r="C31" s="10"/>
    </row>
    <row r="32" customFormat="false" ht="15" hidden="false" customHeight="true" outlineLevel="0" collapsed="false">
      <c r="A32" s="10"/>
      <c r="B32" s="10"/>
      <c r="C32" s="10"/>
    </row>
    <row r="33" customFormat="false" ht="15" hidden="false" customHeight="true" outlineLevel="0" collapsed="false">
      <c r="A33" s="10"/>
      <c r="B33" s="10"/>
      <c r="C33" s="10"/>
    </row>
    <row r="34" customFormat="false" ht="15" hidden="false" customHeight="true" outlineLevel="0" collapsed="false">
      <c r="A34" s="10"/>
      <c r="B34" s="10"/>
      <c r="C34" s="10"/>
    </row>
    <row r="35" customFormat="false" ht="15" hidden="false" customHeight="true" outlineLevel="0" collapsed="false">
      <c r="A35" s="10"/>
      <c r="B35" s="10"/>
      <c r="C35" s="10"/>
    </row>
    <row r="36" customFormat="false" ht="15" hidden="false" customHeight="true" outlineLevel="0" collapsed="false">
      <c r="A36" s="10"/>
      <c r="B36" s="10"/>
      <c r="C36" s="10"/>
    </row>
    <row r="37" customFormat="false" ht="15" hidden="false" customHeight="true" outlineLevel="0" collapsed="false">
      <c r="A37" s="10"/>
      <c r="B37" s="10"/>
      <c r="C37" s="10"/>
    </row>
    <row r="38" customFormat="false" ht="15" hidden="false" customHeight="true" outlineLevel="0" collapsed="false">
      <c r="A38" s="10"/>
      <c r="B38" s="10"/>
      <c r="C38" s="10"/>
    </row>
    <row r="39" customFormat="false" ht="15" hidden="false" customHeight="true" outlineLevel="0" collapsed="false">
      <c r="A39" s="10"/>
      <c r="B39" s="10"/>
      <c r="C39" s="10"/>
    </row>
    <row r="40" customFormat="false" ht="15" hidden="false" customHeight="true" outlineLevel="0" collapsed="false"/>
    <row r="41" customFormat="false" ht="15" hidden="false" customHeight="true" outlineLevel="0" collapsed="false"/>
    <row r="42" customFormat="false" ht="15" hidden="false" customHeight="true" outlineLevel="0" collapsed="false"/>
    <row r="43" customFormat="false" ht="15" hidden="false" customHeight="true" outlineLevel="0" collapsed="false"/>
    <row r="44" customFormat="false" ht="15" hidden="false" customHeight="true" outlineLevel="0" collapsed="false"/>
    <row r="45" customFormat="false" ht="15" hidden="false" customHeight="true" outlineLevel="0" collapsed="false"/>
    <row r="46" customFormat="false" ht="15" hidden="false" customHeight="true" outlineLevel="0" collapsed="false"/>
    <row r="47" customFormat="false" ht="15" hidden="false" customHeight="true" outlineLevel="0" collapsed="false"/>
    <row r="48" customFormat="false" ht="15" hidden="false" customHeight="true" outlineLevel="0" collapsed="false"/>
    <row r="49" customFormat="false" ht="15" hidden="false" customHeight="true" outlineLevel="0" collapsed="false"/>
    <row r="50" customFormat="false" ht="15" hidden="false" customHeight="true" outlineLevel="0" collapsed="false"/>
    <row r="51" customFormat="false" ht="15" hidden="false" customHeight="true" outlineLevel="0" collapsed="false"/>
    <row r="52" customFormat="false" ht="15" hidden="false" customHeight="true" outlineLevel="0" collapsed="false"/>
    <row r="53" customFormat="false" ht="15" hidden="false" customHeight="true" outlineLevel="0" collapsed="false"/>
    <row r="54" customFormat="false" ht="15" hidden="false" customHeight="true" outlineLevel="0" collapsed="false"/>
    <row r="55" customFormat="false" ht="15" hidden="false" customHeight="true" outlineLevel="0" collapsed="false"/>
    <row r="56" customFormat="false" ht="15" hidden="false" customHeight="true" outlineLevel="0" collapsed="false"/>
    <row r="57" customFormat="false" ht="15" hidden="false" customHeight="true" outlineLevel="0" collapsed="false"/>
    <row r="58" customFormat="false" ht="15" hidden="false" customHeight="true" outlineLevel="0" collapsed="false"/>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12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H21" activeCellId="0" sqref="H21"/>
    </sheetView>
  </sheetViews>
  <sheetFormatPr defaultColWidth="8.66796875" defaultRowHeight="15" customHeight="false" zeroHeight="false" outlineLevelRow="0" outlineLevelCol="0"/>
  <cols>
    <col collapsed="false" customWidth="true" hidden="false" outlineLevel="0" max="2" min="1" style="0" width="10"/>
    <col collapsed="false" customWidth="true" hidden="false" outlineLevel="0" max="4" min="3" style="0" width="12"/>
    <col collapsed="false" customWidth="true" hidden="false" outlineLevel="0" max="5" min="5" style="0" width="10"/>
    <col collapsed="false" customWidth="true" hidden="false" outlineLevel="0" max="6" min="6" style="0" width="28"/>
    <col collapsed="false" customWidth="true" hidden="false" outlineLevel="0" max="8" min="7" style="0" width="75"/>
    <col collapsed="false" customWidth="true" hidden="false" outlineLevel="0" max="9" min="9" style="0" width="10"/>
    <col collapsed="false" customWidth="true" hidden="false" outlineLevel="0" max="10" min="10" style="0" width="14"/>
    <col collapsed="false" customWidth="true" hidden="false" outlineLevel="0" max="12" min="11" style="0" width="12"/>
    <col collapsed="false" customWidth="true" hidden="false" outlineLevel="0" max="13" min="13" style="0" width="16"/>
    <col collapsed="false" customWidth="true" hidden="false" outlineLevel="0" max="14" min="14" style="0" width="12"/>
    <col collapsed="false" customWidth="true" hidden="false" outlineLevel="0" max="15" min="15" style="0" width="22"/>
    <col collapsed="false" customWidth="true" hidden="false" outlineLevel="0" max="16" min="16" style="0" width="12"/>
  </cols>
  <sheetData>
    <row r="1" customFormat="false" ht="15" hidden="false" customHeight="true" outlineLevel="0" collapsed="false">
      <c r="A1" s="4" t="s">
        <v>226</v>
      </c>
      <c r="B1" s="4" t="s">
        <v>173</v>
      </c>
      <c r="C1" s="4" t="s">
        <v>110</v>
      </c>
      <c r="D1" s="4" t="s">
        <v>109</v>
      </c>
      <c r="E1" s="4" t="s">
        <v>42</v>
      </c>
      <c r="F1" s="4" t="s">
        <v>227</v>
      </c>
      <c r="G1" s="4" t="s">
        <v>43</v>
      </c>
      <c r="H1" s="4" t="s">
        <v>228</v>
      </c>
      <c r="I1" s="4" t="s">
        <v>229</v>
      </c>
      <c r="J1" s="4" t="s">
        <v>230</v>
      </c>
      <c r="K1" s="4" t="s">
        <v>231</v>
      </c>
      <c r="L1" s="4" t="s">
        <v>232</v>
      </c>
      <c r="M1" s="4" t="s">
        <v>13</v>
      </c>
      <c r="N1" s="4" t="s">
        <v>233</v>
      </c>
      <c r="O1" s="4" t="s">
        <v>234</v>
      </c>
      <c r="P1" s="4" t="s">
        <v>18</v>
      </c>
    </row>
    <row r="2" customFormat="false" ht="52.5" hidden="true" customHeight="true" outlineLevel="0" collapsed="false">
      <c r="A2" s="10" t="s">
        <v>235</v>
      </c>
      <c r="B2" s="10" t="s">
        <v>182</v>
      </c>
      <c r="C2" s="10" t="s">
        <v>112</v>
      </c>
      <c r="D2" s="10" t="s">
        <v>64</v>
      </c>
      <c r="E2" s="10" t="s">
        <v>45</v>
      </c>
      <c r="F2" s="10" t="s">
        <v>236</v>
      </c>
      <c r="G2" s="10" t="s">
        <v>237</v>
      </c>
      <c r="H2" s="10"/>
      <c r="I2" s="10" t="s">
        <v>238</v>
      </c>
      <c r="J2" s="10"/>
      <c r="K2" s="10" t="n">
        <v>17</v>
      </c>
      <c r="L2" s="10"/>
      <c r="M2" s="11" t="s">
        <v>19</v>
      </c>
      <c r="N2" s="10"/>
      <c r="O2" s="10"/>
      <c r="P2" s="11" t="n">
        <f aca="false">IF(ISNUMBER(SEARCH("Done",M2)),1,IF(ISNUMBER(SEARCH("In Progress",M2)),0.5,0))</f>
        <v>1</v>
      </c>
    </row>
    <row r="3" customFormat="false" ht="52.5" hidden="true" customHeight="true" outlineLevel="0" collapsed="false">
      <c r="A3" s="10" t="s">
        <v>239</v>
      </c>
      <c r="B3" s="10" t="s">
        <v>182</v>
      </c>
      <c r="C3" s="10" t="s">
        <v>112</v>
      </c>
      <c r="D3" s="10" t="s">
        <v>64</v>
      </c>
      <c r="E3" s="10" t="s">
        <v>45</v>
      </c>
      <c r="F3" s="10" t="s">
        <v>240</v>
      </c>
      <c r="G3" s="10" t="s">
        <v>241</v>
      </c>
      <c r="H3" s="10"/>
      <c r="I3" s="10" t="s">
        <v>238</v>
      </c>
      <c r="J3" s="10"/>
      <c r="K3" s="10"/>
      <c r="L3" s="10"/>
      <c r="M3" s="11" t="s">
        <v>19</v>
      </c>
      <c r="N3" s="10"/>
      <c r="O3" s="10" t="s">
        <v>235</v>
      </c>
      <c r="P3" s="11" t="n">
        <f aca="false">IF(ISNUMBER(SEARCH("Done",M3)),1,IF(ISNUMBER(SEARCH("In Progress",M3)),0.5,0))</f>
        <v>1</v>
      </c>
    </row>
    <row r="4" customFormat="false" ht="52.5" hidden="true" customHeight="true" outlineLevel="0" collapsed="false">
      <c r="A4" s="10" t="s">
        <v>242</v>
      </c>
      <c r="B4" s="10" t="s">
        <v>182</v>
      </c>
      <c r="C4" s="10" t="s">
        <v>112</v>
      </c>
      <c r="D4" s="10" t="s">
        <v>64</v>
      </c>
      <c r="E4" s="10" t="s">
        <v>45</v>
      </c>
      <c r="F4" s="10" t="s">
        <v>243</v>
      </c>
      <c r="G4" s="10" t="s">
        <v>244</v>
      </c>
      <c r="H4" s="10"/>
      <c r="I4" s="10" t="s">
        <v>238</v>
      </c>
      <c r="J4" s="10"/>
      <c r="K4" s="10"/>
      <c r="L4" s="10"/>
      <c r="M4" s="11" t="s">
        <v>19</v>
      </c>
      <c r="N4" s="10"/>
      <c r="O4" s="10" t="s">
        <v>239</v>
      </c>
      <c r="P4" s="11" t="n">
        <f aca="false">IF(ISNUMBER(SEARCH("Done",M4)),1,IF(ISNUMBER(SEARCH("In Progress",M4)),0.5,0))</f>
        <v>1</v>
      </c>
    </row>
    <row r="5" customFormat="false" ht="39" hidden="true" customHeight="true" outlineLevel="0" collapsed="false">
      <c r="A5" s="10" t="s">
        <v>245</v>
      </c>
      <c r="B5" s="10" t="s">
        <v>182</v>
      </c>
      <c r="C5" s="10" t="s">
        <v>112</v>
      </c>
      <c r="D5" s="10" t="s">
        <v>64</v>
      </c>
      <c r="E5" s="10" t="s">
        <v>45</v>
      </c>
      <c r="F5" s="10" t="s">
        <v>246</v>
      </c>
      <c r="G5" s="10" t="s">
        <v>247</v>
      </c>
      <c r="H5" s="10"/>
      <c r="I5" s="10" t="s">
        <v>238</v>
      </c>
      <c r="J5" s="10"/>
      <c r="K5" s="10"/>
      <c r="L5" s="10"/>
      <c r="M5" s="11" t="s">
        <v>19</v>
      </c>
      <c r="N5" s="10"/>
      <c r="O5" s="10" t="s">
        <v>242</v>
      </c>
      <c r="P5" s="11" t="n">
        <f aca="false">IF(ISNUMBER(SEARCH("Done",M5)),1,IF(ISNUMBER(SEARCH("In Progress",M5)),0.5,0))</f>
        <v>1</v>
      </c>
    </row>
    <row r="6" customFormat="false" ht="39" hidden="true" customHeight="true" outlineLevel="0" collapsed="false">
      <c r="A6" s="10" t="s">
        <v>248</v>
      </c>
      <c r="B6" s="10" t="s">
        <v>182</v>
      </c>
      <c r="C6" s="10" t="s">
        <v>112</v>
      </c>
      <c r="D6" s="10" t="s">
        <v>64</v>
      </c>
      <c r="E6" s="10" t="s">
        <v>45</v>
      </c>
      <c r="F6" s="10" t="s">
        <v>249</v>
      </c>
      <c r="G6" s="10" t="s">
        <v>250</v>
      </c>
      <c r="H6" s="10"/>
      <c r="I6" s="10" t="s">
        <v>238</v>
      </c>
      <c r="J6" s="10"/>
      <c r="K6" s="10"/>
      <c r="L6" s="10"/>
      <c r="M6" s="11" t="s">
        <v>19</v>
      </c>
      <c r="N6" s="10"/>
      <c r="O6" s="10" t="s">
        <v>242</v>
      </c>
      <c r="P6" s="11" t="n">
        <f aca="false">IF(ISNUMBER(SEARCH("Done",M6)),1,IF(ISNUMBER(SEARCH("In Progress",M6)),0.5,0))</f>
        <v>1</v>
      </c>
    </row>
    <row r="7" customFormat="false" ht="39" hidden="true" customHeight="true" outlineLevel="0" collapsed="false">
      <c r="A7" s="10" t="s">
        <v>251</v>
      </c>
      <c r="B7" s="10" t="s">
        <v>182</v>
      </c>
      <c r="C7" s="10" t="s">
        <v>112</v>
      </c>
      <c r="D7" s="10" t="s">
        <v>64</v>
      </c>
      <c r="E7" s="10" t="s">
        <v>45</v>
      </c>
      <c r="F7" s="10" t="s">
        <v>252</v>
      </c>
      <c r="G7" s="10" t="s">
        <v>253</v>
      </c>
      <c r="H7" s="10"/>
      <c r="I7" s="10" t="s">
        <v>238</v>
      </c>
      <c r="J7" s="10"/>
      <c r="K7" s="10"/>
      <c r="L7" s="10"/>
      <c r="M7" s="11" t="s">
        <v>19</v>
      </c>
      <c r="N7" s="10"/>
      <c r="O7" s="10" t="s">
        <v>235</v>
      </c>
      <c r="P7" s="11" t="n">
        <f aca="false">IF(ISNUMBER(SEARCH("Done",M7)),1,IF(ISNUMBER(SEARCH("In Progress",M7)),0.5,0))</f>
        <v>1</v>
      </c>
    </row>
    <row r="8" customFormat="false" ht="39" hidden="true" customHeight="true" outlineLevel="0" collapsed="false">
      <c r="A8" s="10" t="s">
        <v>254</v>
      </c>
      <c r="B8" s="10" t="s">
        <v>182</v>
      </c>
      <c r="C8" s="10" t="s">
        <v>112</v>
      </c>
      <c r="D8" s="10" t="s">
        <v>64</v>
      </c>
      <c r="E8" s="10" t="s">
        <v>45</v>
      </c>
      <c r="F8" s="10" t="s">
        <v>255</v>
      </c>
      <c r="G8" s="10" t="s">
        <v>256</v>
      </c>
      <c r="H8" s="10"/>
      <c r="I8" s="10" t="s">
        <v>238</v>
      </c>
      <c r="J8" s="10"/>
      <c r="K8" s="10"/>
      <c r="L8" s="10"/>
      <c r="M8" s="11" t="s">
        <v>19</v>
      </c>
      <c r="N8" s="10"/>
      <c r="O8" s="10" t="s">
        <v>242</v>
      </c>
      <c r="P8" s="11" t="n">
        <f aca="false">IF(ISNUMBER(SEARCH("Done",M8)),1,IF(ISNUMBER(SEARCH("In Progress",M8)),0.5,0))</f>
        <v>1</v>
      </c>
    </row>
    <row r="9" customFormat="false" ht="39" hidden="true" customHeight="true" outlineLevel="0" collapsed="false">
      <c r="A9" s="10" t="s">
        <v>257</v>
      </c>
      <c r="B9" s="10" t="s">
        <v>182</v>
      </c>
      <c r="C9" s="10" t="s">
        <v>112</v>
      </c>
      <c r="D9" s="10" t="s">
        <v>64</v>
      </c>
      <c r="E9" s="10" t="s">
        <v>45</v>
      </c>
      <c r="F9" s="10" t="s">
        <v>258</v>
      </c>
      <c r="G9" s="10" t="s">
        <v>259</v>
      </c>
      <c r="H9" s="10"/>
      <c r="I9" s="10" t="s">
        <v>260</v>
      </c>
      <c r="J9" s="10"/>
      <c r="K9" s="10"/>
      <c r="L9" s="10"/>
      <c r="M9" s="11" t="s">
        <v>19</v>
      </c>
      <c r="N9" s="10"/>
      <c r="O9" s="10" t="s">
        <v>239</v>
      </c>
      <c r="P9" s="11" t="n">
        <f aca="false">IF(ISNUMBER(SEARCH("Done",M9)),1,IF(ISNUMBER(SEARCH("In Progress",M9)),0.5,0))</f>
        <v>1</v>
      </c>
    </row>
    <row r="10" customFormat="false" ht="39" hidden="true" customHeight="true" outlineLevel="0" collapsed="false">
      <c r="A10" s="10" t="s">
        <v>261</v>
      </c>
      <c r="B10" s="10" t="s">
        <v>182</v>
      </c>
      <c r="C10" s="10" t="s">
        <v>112</v>
      </c>
      <c r="D10" s="10" t="s">
        <v>64</v>
      </c>
      <c r="E10" s="10" t="s">
        <v>45</v>
      </c>
      <c r="F10" s="10" t="s">
        <v>262</v>
      </c>
      <c r="G10" s="10" t="s">
        <v>263</v>
      </c>
      <c r="H10" s="10"/>
      <c r="I10" s="10" t="s">
        <v>238</v>
      </c>
      <c r="J10" s="10"/>
      <c r="K10" s="10"/>
      <c r="L10" s="10"/>
      <c r="M10" s="11" t="s">
        <v>19</v>
      </c>
      <c r="N10" s="10"/>
      <c r="O10" s="10" t="s">
        <v>235</v>
      </c>
      <c r="P10" s="11" t="n">
        <f aca="false">IF(ISNUMBER(SEARCH("Done",M10)),1,IF(ISNUMBER(SEARCH("In Progress",M10)),0.5,0))</f>
        <v>1</v>
      </c>
    </row>
    <row r="11" customFormat="false" ht="39" hidden="true" customHeight="true" outlineLevel="0" collapsed="false">
      <c r="A11" s="10" t="s">
        <v>264</v>
      </c>
      <c r="B11" s="10" t="s">
        <v>182</v>
      </c>
      <c r="C11" s="10" t="s">
        <v>112</v>
      </c>
      <c r="D11" s="10" t="s">
        <v>64</v>
      </c>
      <c r="E11" s="10" t="s">
        <v>45</v>
      </c>
      <c r="F11" s="10" t="s">
        <v>265</v>
      </c>
      <c r="G11" s="10" t="s">
        <v>266</v>
      </c>
      <c r="H11" s="10"/>
      <c r="I11" s="10" t="s">
        <v>238</v>
      </c>
      <c r="J11" s="10"/>
      <c r="K11" s="10"/>
      <c r="L11" s="10"/>
      <c r="M11" s="11" t="s">
        <v>19</v>
      </c>
      <c r="N11" s="10"/>
      <c r="O11" s="10" t="s">
        <v>261</v>
      </c>
      <c r="P11" s="11" t="n">
        <f aca="false">IF(ISNUMBER(SEARCH("Done",M11)),1,IF(ISNUMBER(SEARCH("In Progress",M11)),0.5,0))</f>
        <v>1</v>
      </c>
    </row>
    <row r="12" customFormat="false" ht="52.5" hidden="true" customHeight="true" outlineLevel="0" collapsed="false">
      <c r="A12" s="10" t="s">
        <v>267</v>
      </c>
      <c r="B12" s="10" t="s">
        <v>182</v>
      </c>
      <c r="C12" s="10" t="s">
        <v>112</v>
      </c>
      <c r="D12" s="10" t="s">
        <v>64</v>
      </c>
      <c r="E12" s="10" t="s">
        <v>45</v>
      </c>
      <c r="F12" s="10" t="s">
        <v>268</v>
      </c>
      <c r="G12" s="10" t="s">
        <v>269</v>
      </c>
      <c r="H12" s="10"/>
      <c r="I12" s="10" t="s">
        <v>260</v>
      </c>
      <c r="J12" s="10"/>
      <c r="K12" s="10"/>
      <c r="L12" s="10"/>
      <c r="M12" s="11" t="s">
        <v>19</v>
      </c>
      <c r="N12" s="10"/>
      <c r="O12" s="10" t="s">
        <v>239</v>
      </c>
      <c r="P12" s="11" t="n">
        <f aca="false">IF(ISNUMBER(SEARCH("Done",M12)),1,IF(ISNUMBER(SEARCH("In Progress",M12)),0.5,0))</f>
        <v>1</v>
      </c>
    </row>
    <row r="13" customFormat="false" ht="39" hidden="true" customHeight="true" outlineLevel="0" collapsed="false">
      <c r="A13" s="10" t="s">
        <v>270</v>
      </c>
      <c r="B13" s="10" t="s">
        <v>182</v>
      </c>
      <c r="C13" s="10" t="s">
        <v>112</v>
      </c>
      <c r="D13" s="10" t="s">
        <v>64</v>
      </c>
      <c r="E13" s="10" t="s">
        <v>45</v>
      </c>
      <c r="F13" s="10" t="s">
        <v>271</v>
      </c>
      <c r="G13" s="10" t="s">
        <v>272</v>
      </c>
      <c r="H13" s="10"/>
      <c r="I13" s="10" t="s">
        <v>260</v>
      </c>
      <c r="J13" s="10"/>
      <c r="K13" s="10"/>
      <c r="L13" s="10"/>
      <c r="M13" s="11" t="s">
        <v>19</v>
      </c>
      <c r="N13" s="10"/>
      <c r="O13" s="10" t="s">
        <v>242</v>
      </c>
      <c r="P13" s="11" t="n">
        <f aca="false">IF(ISNUMBER(SEARCH("Done",M13)),1,IF(ISNUMBER(SEARCH("In Progress",M13)),0.5,0))</f>
        <v>1</v>
      </c>
    </row>
    <row r="14" customFormat="false" ht="39" hidden="true" customHeight="true" outlineLevel="0" collapsed="false">
      <c r="A14" s="10" t="s">
        <v>273</v>
      </c>
      <c r="B14" s="10" t="s">
        <v>182</v>
      </c>
      <c r="C14" s="10" t="s">
        <v>112</v>
      </c>
      <c r="D14" s="10" t="s">
        <v>64</v>
      </c>
      <c r="E14" s="10" t="s">
        <v>45</v>
      </c>
      <c r="F14" s="10" t="s">
        <v>274</v>
      </c>
      <c r="G14" s="10" t="s">
        <v>275</v>
      </c>
      <c r="H14" s="10"/>
      <c r="I14" s="10" t="s">
        <v>260</v>
      </c>
      <c r="J14" s="10"/>
      <c r="K14" s="10"/>
      <c r="L14" s="10"/>
      <c r="M14" s="11" t="s">
        <v>19</v>
      </c>
      <c r="N14" s="10"/>
      <c r="O14" s="10" t="s">
        <v>270</v>
      </c>
      <c r="P14" s="11" t="n">
        <f aca="false">IF(ISNUMBER(SEARCH("Done",M14)),1,IF(ISNUMBER(SEARCH("In Progress",M14)),0.5,0))</f>
        <v>1</v>
      </c>
    </row>
    <row r="15" customFormat="false" ht="39" hidden="true" customHeight="true" outlineLevel="0" collapsed="false">
      <c r="A15" s="10" t="s">
        <v>276</v>
      </c>
      <c r="B15" s="10" t="s">
        <v>182</v>
      </c>
      <c r="C15" s="10" t="s">
        <v>112</v>
      </c>
      <c r="D15" s="10" t="s">
        <v>64</v>
      </c>
      <c r="E15" s="10" t="s">
        <v>45</v>
      </c>
      <c r="F15" s="10" t="s">
        <v>277</v>
      </c>
      <c r="G15" s="10" t="s">
        <v>278</v>
      </c>
      <c r="H15" s="10"/>
      <c r="I15" s="10" t="s">
        <v>260</v>
      </c>
      <c r="J15" s="10"/>
      <c r="K15" s="10"/>
      <c r="L15" s="10"/>
      <c r="M15" s="11" t="s">
        <v>19</v>
      </c>
      <c r="N15" s="10"/>
      <c r="O15" s="10" t="s">
        <v>257</v>
      </c>
      <c r="P15" s="11" t="n">
        <f aca="false">IF(ISNUMBER(SEARCH("Done",M15)),1,IF(ISNUMBER(SEARCH("In Progress",M15)),0.5,0))</f>
        <v>1</v>
      </c>
    </row>
    <row r="16" customFormat="false" ht="39" hidden="true" customHeight="true" outlineLevel="0" collapsed="false">
      <c r="A16" s="10" t="s">
        <v>279</v>
      </c>
      <c r="B16" s="10" t="s">
        <v>182</v>
      </c>
      <c r="C16" s="10" t="s">
        <v>112</v>
      </c>
      <c r="D16" s="10" t="s">
        <v>64</v>
      </c>
      <c r="E16" s="10" t="s">
        <v>45</v>
      </c>
      <c r="F16" s="10" t="s">
        <v>280</v>
      </c>
      <c r="G16" s="10" t="s">
        <v>281</v>
      </c>
      <c r="H16" s="10"/>
      <c r="I16" s="10" t="s">
        <v>260</v>
      </c>
      <c r="J16" s="10"/>
      <c r="K16" s="10"/>
      <c r="L16" s="10"/>
      <c r="M16" s="11" t="s">
        <v>19</v>
      </c>
      <c r="N16" s="10"/>
      <c r="O16" s="10" t="s">
        <v>235</v>
      </c>
      <c r="P16" s="11" t="n">
        <f aca="false">IF(ISNUMBER(SEARCH("Done",M16)),1,IF(ISNUMBER(SEARCH("In Progress",M16)),0.5,0))</f>
        <v>1</v>
      </c>
    </row>
    <row r="17" customFormat="false" ht="39" hidden="true" customHeight="true" outlineLevel="0" collapsed="false">
      <c r="A17" s="10" t="s">
        <v>282</v>
      </c>
      <c r="B17" s="10" t="s">
        <v>182</v>
      </c>
      <c r="C17" s="10" t="s">
        <v>112</v>
      </c>
      <c r="D17" s="10" t="s">
        <v>64</v>
      </c>
      <c r="E17" s="10" t="s">
        <v>45</v>
      </c>
      <c r="F17" s="10" t="s">
        <v>283</v>
      </c>
      <c r="G17" s="10" t="s">
        <v>284</v>
      </c>
      <c r="H17" s="10"/>
      <c r="I17" s="10" t="s">
        <v>260</v>
      </c>
      <c r="J17" s="10"/>
      <c r="K17" s="10"/>
      <c r="L17" s="10"/>
      <c r="M17" s="11" t="s">
        <v>19</v>
      </c>
      <c r="N17" s="10"/>
      <c r="O17" s="10" t="s">
        <v>235</v>
      </c>
      <c r="P17" s="11" t="n">
        <f aca="false">IF(ISNUMBER(SEARCH("Done",M17)),1,IF(ISNUMBER(SEARCH("In Progress",M17)),0.5,0))</f>
        <v>1</v>
      </c>
    </row>
    <row r="18" customFormat="false" ht="39" hidden="true" customHeight="true" outlineLevel="0" collapsed="false">
      <c r="A18" s="10" t="s">
        <v>285</v>
      </c>
      <c r="B18" s="10" t="s">
        <v>182</v>
      </c>
      <c r="C18" s="10" t="s">
        <v>112</v>
      </c>
      <c r="D18" s="10" t="s">
        <v>64</v>
      </c>
      <c r="E18" s="10" t="s">
        <v>45</v>
      </c>
      <c r="F18" s="10" t="s">
        <v>286</v>
      </c>
      <c r="G18" s="10" t="s">
        <v>287</v>
      </c>
      <c r="H18" s="10"/>
      <c r="I18" s="10" t="s">
        <v>260</v>
      </c>
      <c r="J18" s="10"/>
      <c r="K18" s="10"/>
      <c r="L18" s="10"/>
      <c r="M18" s="11" t="s">
        <v>19</v>
      </c>
      <c r="N18" s="10"/>
      <c r="O18" s="10" t="s">
        <v>235</v>
      </c>
      <c r="P18" s="11" t="n">
        <f aca="false">IF(ISNUMBER(SEARCH("Done",M18)),1,IF(ISNUMBER(SEARCH("In Progress",M18)),0.5,0))</f>
        <v>1</v>
      </c>
    </row>
    <row r="19" customFormat="false" ht="52.5" hidden="true" customHeight="true" outlineLevel="0" collapsed="false">
      <c r="A19" s="10" t="s">
        <v>288</v>
      </c>
      <c r="B19" s="10" t="s">
        <v>182</v>
      </c>
      <c r="C19" s="10" t="s">
        <v>112</v>
      </c>
      <c r="D19" s="10" t="s">
        <v>64</v>
      </c>
      <c r="E19" s="10" t="s">
        <v>45</v>
      </c>
      <c r="F19" s="10" t="s">
        <v>289</v>
      </c>
      <c r="G19" s="10" t="s">
        <v>290</v>
      </c>
      <c r="H19" s="10"/>
      <c r="I19" s="10" t="s">
        <v>260</v>
      </c>
      <c r="J19" s="10"/>
      <c r="K19" s="10"/>
      <c r="L19" s="10"/>
      <c r="M19" s="11" t="s">
        <v>19</v>
      </c>
      <c r="N19" s="10"/>
      <c r="O19" s="10" t="s">
        <v>235</v>
      </c>
      <c r="P19" s="11" t="n">
        <f aca="false">IF(ISNUMBER(SEARCH("Done",M19)),1,IF(ISNUMBER(SEARCH("In Progress",M19)),0.5,0))</f>
        <v>1</v>
      </c>
    </row>
    <row r="20" customFormat="false" ht="92.25" hidden="false" customHeight="true" outlineLevel="0" collapsed="false">
      <c r="A20" s="10" t="s">
        <v>291</v>
      </c>
      <c r="B20" s="10" t="s">
        <v>27</v>
      </c>
      <c r="C20" s="10" t="s">
        <v>114</v>
      </c>
      <c r="D20" s="10" t="s">
        <v>24</v>
      </c>
      <c r="E20" s="10" t="s">
        <v>21</v>
      </c>
      <c r="F20" s="10" t="s">
        <v>292</v>
      </c>
      <c r="G20" s="10" t="s">
        <v>293</v>
      </c>
      <c r="H20" s="10" t="s">
        <v>294</v>
      </c>
      <c r="I20" s="10" t="s">
        <v>295</v>
      </c>
      <c r="J20" s="10"/>
      <c r="K20" s="10"/>
      <c r="L20" s="10"/>
      <c r="M20" s="10" t="s">
        <v>19</v>
      </c>
      <c r="N20" s="10"/>
      <c r="O20" s="10" t="s">
        <v>288</v>
      </c>
      <c r="P20" s="10" t="n">
        <f aca="false">IF(ISNUMBER(SEARCH("Done",M20)),1,IF(ISNUMBER(SEARCH("In Progress",M20)),0.5,0))</f>
        <v>1</v>
      </c>
    </row>
    <row r="21" customFormat="false" ht="78.75" hidden="false" customHeight="true" outlineLevel="0" collapsed="false">
      <c r="A21" s="10" t="s">
        <v>297</v>
      </c>
      <c r="B21" s="10" t="s">
        <v>27</v>
      </c>
      <c r="C21" s="10" t="s">
        <v>114</v>
      </c>
      <c r="D21" s="10" t="s">
        <v>24</v>
      </c>
      <c r="E21" s="10" t="s">
        <v>21</v>
      </c>
      <c r="F21" s="10" t="s">
        <v>298</v>
      </c>
      <c r="G21" s="10" t="s">
        <v>299</v>
      </c>
      <c r="H21" s="10" t="s">
        <v>300</v>
      </c>
      <c r="I21" s="10" t="s">
        <v>238</v>
      </c>
      <c r="J21" s="10"/>
      <c r="K21" s="10"/>
      <c r="L21" s="10"/>
      <c r="M21" s="10" t="s">
        <v>19</v>
      </c>
      <c r="N21" s="10"/>
      <c r="O21" s="10" t="s">
        <v>291</v>
      </c>
      <c r="P21" s="10" t="n">
        <f aca="false">IF(ISNUMBER(SEARCH("Done",M21)),1,IF(ISNUMBER(SEARCH("In Progress",M21)),0.5,0))</f>
        <v>1</v>
      </c>
    </row>
    <row r="22" customFormat="false" ht="66" hidden="false" customHeight="true" outlineLevel="0" collapsed="false">
      <c r="A22" s="10" t="s">
        <v>301</v>
      </c>
      <c r="B22" s="10" t="s">
        <v>27</v>
      </c>
      <c r="C22" s="10" t="s">
        <v>117</v>
      </c>
      <c r="D22" s="10" t="s">
        <v>24</v>
      </c>
      <c r="E22" s="10" t="s">
        <v>21</v>
      </c>
      <c r="F22" s="10" t="s">
        <v>302</v>
      </c>
      <c r="G22" s="10" t="s">
        <v>303</v>
      </c>
      <c r="H22" s="10" t="s">
        <v>304</v>
      </c>
      <c r="I22" s="10" t="s">
        <v>238</v>
      </c>
      <c r="J22" s="10"/>
      <c r="K22" s="10"/>
      <c r="L22" s="10"/>
      <c r="M22" s="10" t="s">
        <v>19</v>
      </c>
      <c r="N22" s="10"/>
      <c r="O22" s="10" t="s">
        <v>305</v>
      </c>
      <c r="P22" s="10" t="n">
        <f aca="false">IF(ISNUMBER(SEARCH("Done",M22)),1,IF(ISNUMBER(SEARCH("In Progress",M22)),0.5,0))</f>
        <v>1</v>
      </c>
    </row>
    <row r="23" customFormat="false" ht="78.75" hidden="false" customHeight="true" outlineLevel="0" collapsed="false">
      <c r="A23" s="10" t="s">
        <v>306</v>
      </c>
      <c r="B23" s="10" t="s">
        <v>27</v>
      </c>
      <c r="C23" s="10" t="s">
        <v>120</v>
      </c>
      <c r="D23" s="10" t="s">
        <v>24</v>
      </c>
      <c r="E23" s="10" t="s">
        <v>21</v>
      </c>
      <c r="F23" s="10" t="s">
        <v>307</v>
      </c>
      <c r="G23" s="10" t="s">
        <v>308</v>
      </c>
      <c r="H23" s="10" t="s">
        <v>309</v>
      </c>
      <c r="I23" s="10" t="s">
        <v>238</v>
      </c>
      <c r="J23" s="10"/>
      <c r="K23" s="10"/>
      <c r="L23" s="10"/>
      <c r="M23" s="10" t="s">
        <v>19</v>
      </c>
      <c r="N23" s="10"/>
      <c r="O23" s="10" t="s">
        <v>301</v>
      </c>
      <c r="P23" s="10" t="n">
        <f aca="false">IF(ISNUMBER(SEARCH("Done",M23)),1,IF(ISNUMBER(SEARCH("In Progress",M23)),0.5,0))</f>
        <v>1</v>
      </c>
    </row>
    <row r="24" customFormat="false" ht="78.75" hidden="true" customHeight="true" outlineLevel="0" collapsed="false">
      <c r="A24" s="10" t="s">
        <v>310</v>
      </c>
      <c r="B24" s="10" t="s">
        <v>37</v>
      </c>
      <c r="C24" s="10" t="s">
        <v>123</v>
      </c>
      <c r="D24" s="10" t="s">
        <v>69</v>
      </c>
      <c r="E24" s="10" t="s">
        <v>21</v>
      </c>
      <c r="F24" s="10" t="s">
        <v>311</v>
      </c>
      <c r="G24" s="10" t="s">
        <v>312</v>
      </c>
      <c r="H24" s="10" t="s">
        <v>313</v>
      </c>
      <c r="I24" s="10" t="s">
        <v>238</v>
      </c>
      <c r="J24" s="10"/>
      <c r="K24" s="10"/>
      <c r="L24" s="10"/>
      <c r="M24" s="10" t="s">
        <v>19</v>
      </c>
      <c r="N24" s="10"/>
      <c r="O24" s="10" t="s">
        <v>306</v>
      </c>
      <c r="P24" s="10" t="n">
        <f aca="false">IF(ISNUMBER(SEARCH("Done",M24)),1,IF(ISNUMBER(SEARCH("In Progress",M24)),0.5,0))</f>
        <v>1</v>
      </c>
    </row>
    <row r="25" customFormat="false" ht="66" hidden="true" customHeight="true" outlineLevel="0" collapsed="false">
      <c r="A25" s="10" t="s">
        <v>314</v>
      </c>
      <c r="B25" s="10" t="s">
        <v>37</v>
      </c>
      <c r="C25" s="10" t="s">
        <v>123</v>
      </c>
      <c r="D25" s="10" t="s">
        <v>69</v>
      </c>
      <c r="E25" s="10" t="s">
        <v>21</v>
      </c>
      <c r="F25" s="10" t="s">
        <v>315</v>
      </c>
      <c r="G25" s="10" t="s">
        <v>316</v>
      </c>
      <c r="H25" s="10" t="s">
        <v>317</v>
      </c>
      <c r="I25" s="10" t="s">
        <v>238</v>
      </c>
      <c r="J25" s="10"/>
      <c r="K25" s="10"/>
      <c r="L25" s="10"/>
      <c r="M25" s="10" t="s">
        <v>19</v>
      </c>
      <c r="N25" s="10"/>
      <c r="O25" s="10" t="s">
        <v>310</v>
      </c>
      <c r="P25" s="10" t="n">
        <f aca="false">IF(ISNUMBER(SEARCH("Done",M25)),1,IF(ISNUMBER(SEARCH("In Progress",M25)),0.5,0))</f>
        <v>1</v>
      </c>
    </row>
    <row r="26" customFormat="false" ht="78.75" hidden="true" customHeight="true" outlineLevel="0" collapsed="false">
      <c r="A26" s="10" t="s">
        <v>318</v>
      </c>
      <c r="B26" s="10" t="s">
        <v>189</v>
      </c>
      <c r="C26" s="10" t="s">
        <v>125</v>
      </c>
      <c r="D26" s="10" t="s">
        <v>72</v>
      </c>
      <c r="E26" s="10" t="s">
        <v>21</v>
      </c>
      <c r="F26" s="10" t="s">
        <v>319</v>
      </c>
      <c r="G26" s="10" t="s">
        <v>320</v>
      </c>
      <c r="H26" s="10" t="s">
        <v>321</v>
      </c>
      <c r="I26" s="10" t="s">
        <v>295</v>
      </c>
      <c r="J26" s="10"/>
      <c r="K26" s="10"/>
      <c r="L26" s="10"/>
      <c r="M26" s="10" t="s">
        <v>19</v>
      </c>
      <c r="N26" s="10"/>
      <c r="O26" s="10" t="s">
        <v>322</v>
      </c>
      <c r="P26" s="10" t="n">
        <f aca="false">IF(ISNUMBER(SEARCH("Done",M26)),1,IF(ISNUMBER(SEARCH("In Progress",M26)),0.5,0))</f>
        <v>1</v>
      </c>
    </row>
    <row r="27" customFormat="false" ht="66" hidden="true" customHeight="true" outlineLevel="0" collapsed="false">
      <c r="A27" s="10" t="s">
        <v>323</v>
      </c>
      <c r="B27" s="10" t="s">
        <v>189</v>
      </c>
      <c r="C27" s="10" t="s">
        <v>125</v>
      </c>
      <c r="D27" s="10" t="s">
        <v>72</v>
      </c>
      <c r="E27" s="10" t="s">
        <v>21</v>
      </c>
      <c r="F27" s="10" t="s">
        <v>324</v>
      </c>
      <c r="G27" s="10" t="s">
        <v>325</v>
      </c>
      <c r="H27" s="10" t="s">
        <v>326</v>
      </c>
      <c r="I27" s="10" t="s">
        <v>238</v>
      </c>
      <c r="J27" s="10"/>
      <c r="K27" s="10"/>
      <c r="L27" s="10"/>
      <c r="M27" s="10" t="s">
        <v>19</v>
      </c>
      <c r="N27" s="10"/>
      <c r="O27" s="10" t="s">
        <v>318</v>
      </c>
      <c r="P27" s="10" t="n">
        <f aca="false">IF(ISNUMBER(SEARCH("Done",M27)),1,IF(ISNUMBER(SEARCH("In Progress",M27)),0.5,0))</f>
        <v>1</v>
      </c>
    </row>
    <row r="28" customFormat="false" ht="78.75" hidden="true" customHeight="true" outlineLevel="0" collapsed="false">
      <c r="A28" s="10" t="s">
        <v>327</v>
      </c>
      <c r="B28" s="10" t="s">
        <v>192</v>
      </c>
      <c r="C28" s="10" t="s">
        <v>127</v>
      </c>
      <c r="D28" s="10" t="s">
        <v>75</v>
      </c>
      <c r="E28" s="10" t="s">
        <v>21</v>
      </c>
      <c r="F28" s="10" t="s">
        <v>328</v>
      </c>
      <c r="G28" s="10" t="s">
        <v>329</v>
      </c>
      <c r="H28" s="10" t="s">
        <v>330</v>
      </c>
      <c r="I28" s="10" t="s">
        <v>295</v>
      </c>
      <c r="J28" s="10"/>
      <c r="K28" s="10"/>
      <c r="L28" s="10"/>
      <c r="M28" s="10" t="s">
        <v>19</v>
      </c>
      <c r="N28" s="10"/>
      <c r="O28" s="10" t="s">
        <v>318</v>
      </c>
      <c r="P28" s="10" t="n">
        <f aca="false">IF(ISNUMBER(SEARCH("Done",M28)),1,IF(ISNUMBER(SEARCH("In Progress",M28)),0.5,0))</f>
        <v>1</v>
      </c>
    </row>
    <row r="29" customFormat="false" ht="78.75" hidden="true" customHeight="true" outlineLevel="0" collapsed="false">
      <c r="A29" s="10" t="s">
        <v>331</v>
      </c>
      <c r="B29" s="10" t="s">
        <v>192</v>
      </c>
      <c r="C29" s="10" t="s">
        <v>129</v>
      </c>
      <c r="D29" s="10" t="s">
        <v>75</v>
      </c>
      <c r="E29" s="10" t="s">
        <v>21</v>
      </c>
      <c r="F29" s="10" t="s">
        <v>332</v>
      </c>
      <c r="G29" s="10" t="s">
        <v>333</v>
      </c>
      <c r="H29" s="10" t="s">
        <v>334</v>
      </c>
      <c r="I29" s="10" t="s">
        <v>238</v>
      </c>
      <c r="J29" s="10"/>
      <c r="K29" s="10"/>
      <c r="L29" s="10"/>
      <c r="M29" s="10" t="s">
        <v>19</v>
      </c>
      <c r="N29" s="10"/>
      <c r="O29" s="10" t="s">
        <v>327</v>
      </c>
      <c r="P29" s="10" t="n">
        <f aca="false">IF(ISNUMBER(SEARCH("Done",M29)),1,IF(ISNUMBER(SEARCH("In Progress",M29)),0.5,0))</f>
        <v>1</v>
      </c>
    </row>
    <row r="30" customFormat="false" ht="78.75" hidden="true" customHeight="true" outlineLevel="0" collapsed="false">
      <c r="A30" s="10" t="s">
        <v>335</v>
      </c>
      <c r="B30" s="10" t="s">
        <v>195</v>
      </c>
      <c r="C30" s="10" t="s">
        <v>132</v>
      </c>
      <c r="D30" s="10" t="s">
        <v>78</v>
      </c>
      <c r="E30" s="10" t="s">
        <v>21</v>
      </c>
      <c r="F30" s="10" t="s">
        <v>336</v>
      </c>
      <c r="G30" s="10" t="s">
        <v>337</v>
      </c>
      <c r="H30" s="10" t="s">
        <v>338</v>
      </c>
      <c r="I30" s="10" t="s">
        <v>295</v>
      </c>
      <c r="J30" s="10"/>
      <c r="K30" s="10"/>
      <c r="L30" s="10"/>
      <c r="M30" s="10" t="s">
        <v>19</v>
      </c>
      <c r="N30" s="10"/>
      <c r="O30" s="10" t="s">
        <v>339</v>
      </c>
      <c r="P30" s="10" t="n">
        <f aca="false">IF(ISNUMBER(SEARCH("Done",M30)),1,IF(ISNUMBER(SEARCH("In Progress",M30)),0.5,0))</f>
        <v>1</v>
      </c>
    </row>
    <row r="31" customFormat="false" ht="66" hidden="true" customHeight="true" outlineLevel="0" collapsed="false">
      <c r="A31" s="10" t="s">
        <v>340</v>
      </c>
      <c r="B31" s="10" t="s">
        <v>195</v>
      </c>
      <c r="C31" s="10" t="s">
        <v>135</v>
      </c>
      <c r="D31" s="10" t="s">
        <v>78</v>
      </c>
      <c r="E31" s="10" t="s">
        <v>21</v>
      </c>
      <c r="F31" s="10" t="s">
        <v>341</v>
      </c>
      <c r="G31" s="10" t="s">
        <v>342</v>
      </c>
      <c r="H31" s="10" t="s">
        <v>343</v>
      </c>
      <c r="I31" s="10" t="s">
        <v>260</v>
      </c>
      <c r="J31" s="10"/>
      <c r="K31" s="10"/>
      <c r="L31" s="10"/>
      <c r="M31" s="10" t="s">
        <v>19</v>
      </c>
      <c r="N31" s="10"/>
      <c r="O31" s="10" t="s">
        <v>344</v>
      </c>
      <c r="P31" s="10" t="n">
        <f aca="false">IF(ISNUMBER(SEARCH("Done",M31)),1,IF(ISNUMBER(SEARCH("In Progress",M31)),0.5,0))</f>
        <v>1</v>
      </c>
    </row>
    <row r="32" customFormat="false" ht="78.75" hidden="true" customHeight="true" outlineLevel="0" collapsed="false">
      <c r="A32" s="10" t="s">
        <v>345</v>
      </c>
      <c r="B32" s="10" t="s">
        <v>198</v>
      </c>
      <c r="C32" s="10" t="s">
        <v>138</v>
      </c>
      <c r="D32" s="10" t="s">
        <v>81</v>
      </c>
      <c r="E32" s="10" t="s">
        <v>21</v>
      </c>
      <c r="F32" s="10" t="s">
        <v>346</v>
      </c>
      <c r="G32" s="10" t="s">
        <v>347</v>
      </c>
      <c r="H32" s="10" t="s">
        <v>348</v>
      </c>
      <c r="I32" s="10" t="s">
        <v>295</v>
      </c>
      <c r="J32" s="10"/>
      <c r="K32" s="10"/>
      <c r="L32" s="10"/>
      <c r="M32" s="10" t="s">
        <v>19</v>
      </c>
      <c r="N32" s="10"/>
      <c r="O32" s="10" t="s">
        <v>484</v>
      </c>
      <c r="P32" s="10" t="n">
        <f aca="false">IF(ISNUMBER(SEARCH("Done",M32)),1,IF(ISNUMBER(SEARCH("In Progress",M32)),0.5,0))</f>
        <v>0</v>
      </c>
    </row>
    <row r="33" customFormat="false" ht="78.75" hidden="true" customHeight="true" outlineLevel="0" collapsed="false">
      <c r="A33" s="10" t="s">
        <v>349</v>
      </c>
      <c r="B33" s="10" t="s">
        <v>198</v>
      </c>
      <c r="C33" s="10" t="s">
        <v>141</v>
      </c>
      <c r="D33" s="10" t="s">
        <v>81</v>
      </c>
      <c r="E33" s="10" t="s">
        <v>21</v>
      </c>
      <c r="F33" s="10" t="s">
        <v>350</v>
      </c>
      <c r="G33" s="10" t="s">
        <v>351</v>
      </c>
      <c r="H33" s="10" t="s">
        <v>352</v>
      </c>
      <c r="I33" s="10" t="s">
        <v>238</v>
      </c>
      <c r="J33" s="10"/>
      <c r="K33" s="10"/>
      <c r="L33" s="10"/>
      <c r="M33" s="10" t="s">
        <v>19</v>
      </c>
      <c r="N33" s="10"/>
      <c r="O33" s="10" t="s">
        <v>345</v>
      </c>
      <c r="P33" s="10" t="n">
        <f aca="false">IF(ISNUMBER(SEARCH("Done",M33)),1,IF(ISNUMBER(SEARCH("In Progress",M33)),0.5,0))</f>
        <v>0</v>
      </c>
    </row>
    <row r="34" customFormat="false" ht="78.75" hidden="true" customHeight="true" outlineLevel="0" collapsed="false">
      <c r="A34" s="10" t="s">
        <v>353</v>
      </c>
      <c r="B34" s="10" t="s">
        <v>201</v>
      </c>
      <c r="C34" s="10" t="s">
        <v>144</v>
      </c>
      <c r="D34" s="10" t="s">
        <v>84</v>
      </c>
      <c r="E34" s="10" t="s">
        <v>21</v>
      </c>
      <c r="F34" s="10" t="s">
        <v>354</v>
      </c>
      <c r="G34" s="10" t="s">
        <v>355</v>
      </c>
      <c r="H34" s="10" t="s">
        <v>356</v>
      </c>
      <c r="I34" s="10" t="s">
        <v>295</v>
      </c>
      <c r="J34" s="10"/>
      <c r="K34" s="10"/>
      <c r="L34" s="10"/>
      <c r="M34" s="10" t="s">
        <v>19</v>
      </c>
      <c r="N34" s="10"/>
      <c r="O34" s="10" t="s">
        <v>349</v>
      </c>
      <c r="P34" s="10" t="n">
        <f aca="false">IF(ISNUMBER(SEARCH("Done",M34)),1,IF(ISNUMBER(SEARCH("In Progress",M34)),0.5,0))</f>
        <v>0</v>
      </c>
    </row>
    <row r="35" customFormat="false" ht="78.75" hidden="true" customHeight="true" outlineLevel="0" collapsed="false">
      <c r="A35" s="10" t="s">
        <v>357</v>
      </c>
      <c r="B35" s="10" t="s">
        <v>201</v>
      </c>
      <c r="C35" s="10" t="s">
        <v>147</v>
      </c>
      <c r="D35" s="10" t="s">
        <v>84</v>
      </c>
      <c r="E35" s="10" t="s">
        <v>21</v>
      </c>
      <c r="F35" s="10" t="s">
        <v>358</v>
      </c>
      <c r="G35" s="10" t="s">
        <v>359</v>
      </c>
      <c r="H35" s="10" t="s">
        <v>360</v>
      </c>
      <c r="I35" s="10" t="s">
        <v>295</v>
      </c>
      <c r="J35" s="10"/>
      <c r="K35" s="10"/>
      <c r="L35" s="10"/>
      <c r="M35" s="10" t="s">
        <v>19</v>
      </c>
      <c r="N35" s="10"/>
      <c r="O35" s="10" t="s">
        <v>353</v>
      </c>
      <c r="P35" s="10" t="n">
        <f aca="false">IF(ISNUMBER(SEARCH("Done",M35)),1,IF(ISNUMBER(SEARCH("In Progress",M35)),0.5,0))</f>
        <v>0</v>
      </c>
    </row>
    <row r="36" customFormat="false" ht="78.75" hidden="true" customHeight="true" outlineLevel="0" collapsed="false">
      <c r="A36" s="10" t="s">
        <v>361</v>
      </c>
      <c r="B36" s="10" t="s">
        <v>204</v>
      </c>
      <c r="C36" s="10" t="s">
        <v>150</v>
      </c>
      <c r="D36" s="10" t="s">
        <v>87</v>
      </c>
      <c r="E36" s="10" t="s">
        <v>21</v>
      </c>
      <c r="F36" s="10" t="s">
        <v>362</v>
      </c>
      <c r="G36" s="10" t="s">
        <v>363</v>
      </c>
      <c r="H36" s="10" t="s">
        <v>364</v>
      </c>
      <c r="I36" s="10" t="s">
        <v>238</v>
      </c>
      <c r="J36" s="10"/>
      <c r="K36" s="10"/>
      <c r="L36" s="10"/>
      <c r="M36" s="10" t="s">
        <v>19</v>
      </c>
      <c r="N36" s="10"/>
      <c r="O36" s="10" t="s">
        <v>357</v>
      </c>
      <c r="P36" s="10" t="n">
        <f aca="false">IF(ISNUMBER(SEARCH("Done",M36)),1,IF(ISNUMBER(SEARCH("In Progress",M36)),0.5,0))</f>
        <v>0</v>
      </c>
    </row>
    <row r="37" customFormat="false" ht="66" hidden="true" customHeight="true" outlineLevel="0" collapsed="false">
      <c r="A37" s="10" t="s">
        <v>365</v>
      </c>
      <c r="B37" s="10" t="s">
        <v>204</v>
      </c>
      <c r="C37" s="10" t="s">
        <v>150</v>
      </c>
      <c r="D37" s="10" t="s">
        <v>87</v>
      </c>
      <c r="E37" s="10" t="s">
        <v>21</v>
      </c>
      <c r="F37" s="10" t="s">
        <v>366</v>
      </c>
      <c r="G37" s="10" t="s">
        <v>367</v>
      </c>
      <c r="H37" s="10" t="s">
        <v>368</v>
      </c>
      <c r="I37" s="10" t="s">
        <v>238</v>
      </c>
      <c r="J37" s="10"/>
      <c r="K37" s="10"/>
      <c r="L37" s="10"/>
      <c r="M37" s="10" t="s">
        <v>19</v>
      </c>
      <c r="N37" s="10"/>
      <c r="O37" s="10" t="s">
        <v>361</v>
      </c>
      <c r="P37" s="10" t="n">
        <f aca="false">IF(ISNUMBER(SEARCH("Done",M37)),1,IF(ISNUMBER(SEARCH("In Progress",M37)),0.5,0))</f>
        <v>1</v>
      </c>
    </row>
    <row r="38" customFormat="false" ht="66" hidden="true" customHeight="true" outlineLevel="0" collapsed="false">
      <c r="A38" s="10" t="s">
        <v>369</v>
      </c>
      <c r="B38" s="10" t="s">
        <v>207</v>
      </c>
      <c r="C38" s="10" t="s">
        <v>153</v>
      </c>
      <c r="D38" s="10" t="s">
        <v>90</v>
      </c>
      <c r="E38" s="10" t="s">
        <v>21</v>
      </c>
      <c r="F38" s="10" t="s">
        <v>370</v>
      </c>
      <c r="G38" s="10" t="s">
        <v>371</v>
      </c>
      <c r="H38" s="10" t="s">
        <v>372</v>
      </c>
      <c r="I38" s="10" t="s">
        <v>238</v>
      </c>
      <c r="J38" s="10"/>
      <c r="K38" s="10"/>
      <c r="L38" s="10"/>
      <c r="M38" s="10" t="s">
        <v>296</v>
      </c>
      <c r="N38" s="10"/>
      <c r="O38" s="10" t="s">
        <v>357</v>
      </c>
      <c r="P38" s="10" t="n">
        <f aca="false">IF(ISNUMBER(SEARCH("Done",M38)),1,IF(ISNUMBER(SEARCH("In Progress",M38)),0.5,0))</f>
        <v>0</v>
      </c>
    </row>
    <row r="39" customFormat="false" ht="52.5" hidden="true" customHeight="true" outlineLevel="0" collapsed="false">
      <c r="A39" s="10" t="s">
        <v>373</v>
      </c>
      <c r="B39" s="10" t="s">
        <v>207</v>
      </c>
      <c r="C39" s="10" t="s">
        <v>153</v>
      </c>
      <c r="D39" s="10" t="s">
        <v>90</v>
      </c>
      <c r="E39" s="10" t="s">
        <v>21</v>
      </c>
      <c r="F39" s="10" t="s">
        <v>374</v>
      </c>
      <c r="G39" s="10" t="s">
        <v>375</v>
      </c>
      <c r="H39" s="10" t="s">
        <v>376</v>
      </c>
      <c r="I39" s="10" t="s">
        <v>260</v>
      </c>
      <c r="J39" s="10"/>
      <c r="K39" s="10"/>
      <c r="L39" s="10"/>
      <c r="M39" s="10" t="s">
        <v>296</v>
      </c>
      <c r="N39" s="10"/>
      <c r="O39" s="10" t="s">
        <v>369</v>
      </c>
      <c r="P39" s="10" t="n">
        <f aca="false">IF(ISNUMBER(SEARCH("Done",M39)),1,IF(ISNUMBER(SEARCH("In Progress",M39)),0.5,0))</f>
        <v>0</v>
      </c>
    </row>
    <row r="40" customFormat="false" ht="78.75" hidden="true" customHeight="true" outlineLevel="0" collapsed="false">
      <c r="A40" s="10" t="s">
        <v>377</v>
      </c>
      <c r="B40" s="10" t="s">
        <v>210</v>
      </c>
      <c r="C40" s="10" t="s">
        <v>155</v>
      </c>
      <c r="D40" s="10" t="s">
        <v>93</v>
      </c>
      <c r="E40" s="10" t="s">
        <v>21</v>
      </c>
      <c r="F40" s="10" t="s">
        <v>378</v>
      </c>
      <c r="G40" s="10" t="s">
        <v>379</v>
      </c>
      <c r="H40" s="10" t="s">
        <v>380</v>
      </c>
      <c r="I40" s="10" t="s">
        <v>238</v>
      </c>
      <c r="J40" s="10"/>
      <c r="K40" s="10"/>
      <c r="L40" s="10"/>
      <c r="M40" s="10" t="s">
        <v>296</v>
      </c>
      <c r="N40" s="10"/>
      <c r="O40" s="10" t="s">
        <v>349</v>
      </c>
      <c r="P40" s="10" t="n">
        <f aca="false">IF(ISNUMBER(SEARCH("Done",M40)),1,IF(ISNUMBER(SEARCH("In Progress",M40)),0.5,0))</f>
        <v>0</v>
      </c>
    </row>
    <row r="41" customFormat="false" ht="66" hidden="true" customHeight="true" outlineLevel="0" collapsed="false">
      <c r="A41" s="10" t="s">
        <v>381</v>
      </c>
      <c r="B41" s="10" t="s">
        <v>210</v>
      </c>
      <c r="C41" s="10" t="s">
        <v>155</v>
      </c>
      <c r="D41" s="10" t="s">
        <v>93</v>
      </c>
      <c r="E41" s="10" t="s">
        <v>21</v>
      </c>
      <c r="F41" s="10" t="s">
        <v>382</v>
      </c>
      <c r="G41" s="10" t="s">
        <v>383</v>
      </c>
      <c r="H41" s="10" t="s">
        <v>384</v>
      </c>
      <c r="I41" s="10" t="s">
        <v>260</v>
      </c>
      <c r="J41" s="10"/>
      <c r="K41" s="10"/>
      <c r="L41" s="10"/>
      <c r="M41" s="10" t="s">
        <v>296</v>
      </c>
      <c r="N41" s="10"/>
      <c r="O41" s="10" t="s">
        <v>385</v>
      </c>
      <c r="P41" s="10" t="n">
        <f aca="false">IF(ISNUMBER(SEARCH("Done",M41)),1,IF(ISNUMBER(SEARCH("In Progress",M41)),0.5,0))</f>
        <v>0</v>
      </c>
    </row>
    <row r="42" customFormat="false" ht="78.75" hidden="true" customHeight="true" outlineLevel="0" collapsed="false">
      <c r="A42" s="10" t="s">
        <v>386</v>
      </c>
      <c r="B42" s="10" t="s">
        <v>213</v>
      </c>
      <c r="C42" s="10" t="s">
        <v>158</v>
      </c>
      <c r="D42" s="10" t="s">
        <v>96</v>
      </c>
      <c r="E42" s="10" t="s">
        <v>21</v>
      </c>
      <c r="F42" s="10" t="s">
        <v>387</v>
      </c>
      <c r="G42" s="10" t="s">
        <v>388</v>
      </c>
      <c r="H42" s="10" t="s">
        <v>389</v>
      </c>
      <c r="I42" s="10" t="s">
        <v>238</v>
      </c>
      <c r="J42" s="10"/>
      <c r="K42" s="10"/>
      <c r="L42" s="10"/>
      <c r="M42" s="10" t="s">
        <v>296</v>
      </c>
      <c r="N42" s="10"/>
      <c r="O42" s="10" t="s">
        <v>390</v>
      </c>
      <c r="P42" s="10" t="n">
        <f aca="false">IF(ISNUMBER(SEARCH("Done",M42)),1,IF(ISNUMBER(SEARCH("In Progress",M42)),0.5,0))</f>
        <v>0</v>
      </c>
    </row>
    <row r="43" customFormat="false" ht="66" hidden="true" customHeight="true" outlineLevel="0" collapsed="false">
      <c r="A43" s="10" t="s">
        <v>391</v>
      </c>
      <c r="B43" s="10" t="s">
        <v>213</v>
      </c>
      <c r="C43" s="10" t="s">
        <v>158</v>
      </c>
      <c r="D43" s="10" t="s">
        <v>96</v>
      </c>
      <c r="E43" s="10" t="s">
        <v>21</v>
      </c>
      <c r="F43" s="10" t="s">
        <v>392</v>
      </c>
      <c r="G43" s="10" t="s">
        <v>393</v>
      </c>
      <c r="H43" s="10" t="s">
        <v>394</v>
      </c>
      <c r="I43" s="10" t="s">
        <v>260</v>
      </c>
      <c r="J43" s="10"/>
      <c r="K43" s="10"/>
      <c r="L43" s="10"/>
      <c r="M43" s="10" t="s">
        <v>296</v>
      </c>
      <c r="N43" s="10"/>
      <c r="O43" s="10" t="s">
        <v>357</v>
      </c>
      <c r="P43" s="10" t="n">
        <f aca="false">IF(ISNUMBER(SEARCH("Done",M43)),1,IF(ISNUMBER(SEARCH("In Progress",M43)),0.5,0))</f>
        <v>0</v>
      </c>
    </row>
    <row r="44" customFormat="false" ht="66" hidden="true" customHeight="true" outlineLevel="0" collapsed="false">
      <c r="A44" s="10" t="s">
        <v>395</v>
      </c>
      <c r="B44" s="10" t="s">
        <v>216</v>
      </c>
      <c r="C44" s="10" t="s">
        <v>161</v>
      </c>
      <c r="D44" s="10" t="s">
        <v>99</v>
      </c>
      <c r="E44" s="10" t="s">
        <v>50</v>
      </c>
      <c r="F44" s="10" t="s">
        <v>396</v>
      </c>
      <c r="G44" s="10" t="s">
        <v>397</v>
      </c>
      <c r="H44" s="10" t="s">
        <v>398</v>
      </c>
      <c r="I44" s="10" t="s">
        <v>238</v>
      </c>
      <c r="J44" s="10"/>
      <c r="K44" s="10"/>
      <c r="L44" s="10"/>
      <c r="M44" s="10" t="s">
        <v>296</v>
      </c>
      <c r="N44" s="10"/>
      <c r="O44" s="10" t="s">
        <v>391</v>
      </c>
      <c r="P44" s="10" t="n">
        <f aca="false">IF(ISNUMBER(SEARCH("Done",M44)),1,IF(ISNUMBER(SEARCH("In Progress",M44)),0.5,0))</f>
        <v>0</v>
      </c>
    </row>
    <row r="45" customFormat="false" ht="52.5" hidden="true" customHeight="true" outlineLevel="0" collapsed="false">
      <c r="A45" s="10" t="s">
        <v>399</v>
      </c>
      <c r="B45" s="10" t="s">
        <v>216</v>
      </c>
      <c r="C45" s="10" t="s">
        <v>164</v>
      </c>
      <c r="D45" s="10" t="s">
        <v>99</v>
      </c>
      <c r="E45" s="10" t="s">
        <v>50</v>
      </c>
      <c r="F45" s="10" t="s">
        <v>400</v>
      </c>
      <c r="G45" s="10" t="s">
        <v>401</v>
      </c>
      <c r="H45" s="10" t="s">
        <v>402</v>
      </c>
      <c r="I45" s="10" t="s">
        <v>295</v>
      </c>
      <c r="J45" s="10"/>
      <c r="K45" s="10"/>
      <c r="L45" s="10"/>
      <c r="M45" s="10" t="s">
        <v>296</v>
      </c>
      <c r="N45" s="10"/>
      <c r="O45" s="10" t="s">
        <v>395</v>
      </c>
      <c r="P45" s="10" t="n">
        <f aca="false">IF(ISNUMBER(SEARCH("Done",M45)),1,IF(ISNUMBER(SEARCH("In Progress",M45)),0.5,0))</f>
        <v>0</v>
      </c>
    </row>
    <row r="46" customFormat="false" ht="66" hidden="true" customHeight="true" outlineLevel="0" collapsed="false">
      <c r="A46" s="10" t="s">
        <v>403</v>
      </c>
      <c r="B46" s="10" t="s">
        <v>220</v>
      </c>
      <c r="C46" s="10" t="s">
        <v>167</v>
      </c>
      <c r="D46" s="10" t="s">
        <v>102</v>
      </c>
      <c r="E46" s="10" t="s">
        <v>50</v>
      </c>
      <c r="F46" s="10" t="s">
        <v>404</v>
      </c>
      <c r="G46" s="10" t="s">
        <v>405</v>
      </c>
      <c r="H46" s="10" t="s">
        <v>406</v>
      </c>
      <c r="I46" s="10" t="s">
        <v>295</v>
      </c>
      <c r="J46" s="10"/>
      <c r="K46" s="10"/>
      <c r="L46" s="10"/>
      <c r="M46" s="10" t="s">
        <v>296</v>
      </c>
      <c r="N46" s="10"/>
      <c r="O46" s="10" t="s">
        <v>399</v>
      </c>
      <c r="P46" s="10" t="n">
        <f aca="false">IF(ISNUMBER(SEARCH("Done",M46)),1,IF(ISNUMBER(SEARCH("In Progress",M46)),0.5,0))</f>
        <v>0</v>
      </c>
    </row>
    <row r="47" customFormat="false" ht="66" hidden="true" customHeight="true" outlineLevel="0" collapsed="false">
      <c r="A47" s="10" t="s">
        <v>407</v>
      </c>
      <c r="B47" s="10" t="s">
        <v>223</v>
      </c>
      <c r="C47" s="10" t="s">
        <v>170</v>
      </c>
      <c r="D47" s="10" t="s">
        <v>105</v>
      </c>
      <c r="E47" s="10" t="s">
        <v>53</v>
      </c>
      <c r="F47" s="10" t="s">
        <v>408</v>
      </c>
      <c r="G47" s="10" t="s">
        <v>409</v>
      </c>
      <c r="H47" s="10" t="s">
        <v>410</v>
      </c>
      <c r="I47" s="10" t="s">
        <v>295</v>
      </c>
      <c r="J47" s="10"/>
      <c r="K47" s="10"/>
      <c r="L47" s="10"/>
      <c r="M47" s="10" t="s">
        <v>296</v>
      </c>
      <c r="N47" s="10"/>
      <c r="O47" s="10" t="s">
        <v>403</v>
      </c>
      <c r="P47" s="10" t="n">
        <f aca="false">IF(ISNUMBER(SEARCH("Done",M47)),1,IF(ISNUMBER(SEARCH("In Progress",M47)),0.5,0))</f>
        <v>0</v>
      </c>
    </row>
    <row r="48" customFormat="false" ht="15" hidden="false" customHeight="true" outlineLevel="0" collapsed="false">
      <c r="A48" s="10" t="s">
        <v>477</v>
      </c>
      <c r="B48" s="10" t="s">
        <v>198</v>
      </c>
      <c r="C48" s="10" t="s">
        <v>478</v>
      </c>
      <c r="D48" s="10" t="s">
        <v>81</v>
      </c>
      <c r="E48" s="10" t="s">
        <v>21</v>
      </c>
      <c r="F48" s="10" t="s">
        <v>481</v>
      </c>
      <c r="G48" s="10" t="s">
        <v>482</v>
      </c>
      <c r="H48" s="10" t="s">
        <v>483</v>
      </c>
      <c r="I48" s="10" t="s">
        <v>295</v>
      </c>
      <c r="J48" s="10"/>
      <c r="K48" s="10"/>
      <c r="L48" s="10"/>
      <c r="M48" s="10" t="s">
        <v>19</v>
      </c>
      <c r="N48" s="10"/>
      <c r="O48" s="10"/>
      <c r="P48" s="10" t="n">
        <f aca="false">IF(ISNUMBER(SEARCH("Done",M48)),1,IF(ISNUMBER(SEARCH("In Progress",M48)),0.5,0))</f>
        <v>1</v>
      </c>
    </row>
    <row r="49" customFormat="false" ht="15" hidden="false" customHeight="true" outlineLevel="0" collapsed="false">
      <c r="A49" s="10"/>
      <c r="B49" s="10"/>
      <c r="C49" s="10"/>
      <c r="D49" s="10"/>
      <c r="E49" s="10"/>
      <c r="F49" s="10"/>
      <c r="G49" s="10"/>
      <c r="H49" s="10"/>
      <c r="I49" s="10"/>
      <c r="J49" s="10"/>
      <c r="K49" s="10"/>
      <c r="L49" s="10"/>
      <c r="M49" s="10"/>
      <c r="N49" s="10"/>
      <c r="O49" s="10"/>
      <c r="P49" s="10"/>
    </row>
    <row r="50" customFormat="false" ht="15" hidden="false" customHeight="true" outlineLevel="0" collapsed="false">
      <c r="A50" s="10"/>
      <c r="B50" s="10"/>
      <c r="C50" s="10"/>
      <c r="D50" s="10"/>
      <c r="E50" s="10"/>
      <c r="F50" s="10"/>
      <c r="G50" s="10"/>
      <c r="H50" s="10"/>
      <c r="I50" s="10"/>
      <c r="J50" s="10"/>
      <c r="K50" s="10"/>
      <c r="L50" s="10"/>
      <c r="M50" s="10"/>
      <c r="N50" s="10"/>
      <c r="O50" s="10"/>
      <c r="P50" s="10"/>
    </row>
    <row r="51" customFormat="false" ht="15" hidden="false" customHeight="true" outlineLevel="0" collapsed="false">
      <c r="A51" s="10"/>
      <c r="B51" s="10"/>
      <c r="C51" s="10"/>
      <c r="D51" s="10"/>
      <c r="E51" s="10"/>
      <c r="F51" s="10"/>
      <c r="G51" s="10"/>
      <c r="H51" s="10"/>
      <c r="I51" s="10"/>
      <c r="J51" s="10"/>
      <c r="K51" s="10"/>
      <c r="L51" s="10"/>
      <c r="M51" s="10"/>
      <c r="N51" s="10"/>
      <c r="O51" s="10"/>
      <c r="P51" s="10"/>
    </row>
    <row r="52" customFormat="false" ht="15" hidden="false" customHeight="true" outlineLevel="0" collapsed="false">
      <c r="A52" s="10"/>
      <c r="B52" s="10"/>
      <c r="C52" s="10"/>
      <c r="D52" s="10"/>
      <c r="E52" s="10"/>
      <c r="F52" s="10"/>
      <c r="G52" s="10"/>
      <c r="H52" s="10"/>
      <c r="I52" s="10"/>
      <c r="J52" s="10"/>
      <c r="K52" s="10"/>
      <c r="L52" s="10"/>
      <c r="M52" s="10"/>
      <c r="N52" s="10"/>
      <c r="O52" s="10"/>
      <c r="P52" s="10"/>
    </row>
    <row r="53" customFormat="false" ht="15" hidden="false" customHeight="true" outlineLevel="0" collapsed="false">
      <c r="A53" s="10"/>
      <c r="B53" s="10"/>
      <c r="C53" s="10"/>
      <c r="D53" s="10"/>
      <c r="E53" s="10"/>
      <c r="F53" s="10"/>
      <c r="G53" s="10"/>
      <c r="H53" s="10"/>
      <c r="I53" s="10"/>
      <c r="J53" s="10"/>
      <c r="K53" s="10"/>
      <c r="L53" s="10"/>
      <c r="M53" s="10"/>
      <c r="N53" s="10"/>
      <c r="O53" s="10"/>
      <c r="P53" s="10"/>
    </row>
    <row r="54" customFormat="false" ht="15" hidden="false" customHeight="true" outlineLevel="0" collapsed="false">
      <c r="A54" s="10"/>
      <c r="B54" s="10"/>
      <c r="C54" s="10"/>
      <c r="D54" s="10"/>
      <c r="E54" s="10"/>
      <c r="F54" s="10"/>
      <c r="G54" s="10"/>
      <c r="H54" s="10"/>
      <c r="I54" s="10"/>
      <c r="J54" s="10"/>
      <c r="K54" s="10"/>
      <c r="L54" s="10"/>
      <c r="M54" s="10"/>
      <c r="N54" s="10"/>
      <c r="O54" s="10"/>
      <c r="P54" s="10"/>
    </row>
    <row r="55" customFormat="false" ht="15" hidden="false" customHeight="true" outlineLevel="0" collapsed="false">
      <c r="A55" s="10"/>
      <c r="B55" s="10"/>
      <c r="C55" s="10"/>
      <c r="D55" s="10"/>
      <c r="E55" s="10"/>
      <c r="F55" s="10"/>
      <c r="G55" s="10"/>
      <c r="H55" s="10"/>
      <c r="I55" s="10"/>
      <c r="J55" s="10"/>
      <c r="K55" s="10"/>
      <c r="L55" s="10"/>
      <c r="M55" s="10"/>
      <c r="N55" s="10"/>
      <c r="O55" s="10"/>
      <c r="P55" s="10"/>
    </row>
    <row r="56" customFormat="false" ht="15" hidden="false" customHeight="true" outlineLevel="0" collapsed="false">
      <c r="A56" s="10"/>
      <c r="B56" s="10"/>
      <c r="C56" s="10"/>
      <c r="D56" s="10"/>
      <c r="E56" s="10"/>
      <c r="F56" s="10"/>
      <c r="G56" s="10"/>
      <c r="H56" s="10"/>
      <c r="I56" s="10"/>
      <c r="J56" s="10"/>
      <c r="K56" s="10"/>
      <c r="L56" s="10"/>
      <c r="M56" s="10"/>
      <c r="N56" s="10"/>
      <c r="O56" s="10"/>
      <c r="P56" s="10"/>
    </row>
    <row r="57" customFormat="false" ht="15" hidden="false" customHeight="true" outlineLevel="0" collapsed="false">
      <c r="A57" s="10"/>
      <c r="B57" s="10"/>
      <c r="C57" s="10"/>
      <c r="D57" s="10"/>
      <c r="E57" s="10"/>
      <c r="F57" s="10"/>
      <c r="G57" s="10"/>
      <c r="H57" s="10"/>
      <c r="I57" s="10"/>
      <c r="J57" s="10"/>
      <c r="K57" s="10"/>
      <c r="L57" s="10"/>
      <c r="M57" s="10"/>
      <c r="N57" s="10"/>
      <c r="O57" s="10"/>
      <c r="P57" s="10"/>
    </row>
    <row r="58" customFormat="false" ht="15" hidden="false" customHeight="true" outlineLevel="0" collapsed="false">
      <c r="A58" s="10"/>
      <c r="B58" s="10"/>
      <c r="C58" s="10"/>
      <c r="D58" s="10"/>
      <c r="E58" s="10"/>
      <c r="F58" s="10"/>
      <c r="G58" s="10"/>
      <c r="H58" s="10"/>
      <c r="I58" s="10"/>
      <c r="J58" s="10"/>
      <c r="K58" s="10"/>
      <c r="L58" s="10"/>
      <c r="M58" s="10"/>
      <c r="N58" s="10"/>
      <c r="O58" s="10"/>
      <c r="P58" s="10"/>
    </row>
    <row r="59" customFormat="false" ht="15" hidden="false" customHeight="true" outlineLevel="0" collapsed="false">
      <c r="A59" s="10"/>
      <c r="B59" s="10"/>
      <c r="C59" s="10"/>
      <c r="D59" s="10"/>
      <c r="E59" s="10"/>
      <c r="F59" s="10"/>
      <c r="G59" s="10"/>
      <c r="H59" s="10"/>
      <c r="I59" s="10"/>
      <c r="J59" s="10"/>
      <c r="K59" s="10"/>
      <c r="L59" s="10"/>
      <c r="M59" s="10"/>
      <c r="N59" s="10"/>
      <c r="O59" s="10"/>
      <c r="P59" s="10"/>
    </row>
    <row r="60" customFormat="false" ht="15" hidden="false" customHeight="true" outlineLevel="0" collapsed="false">
      <c r="A60" s="10"/>
      <c r="B60" s="10"/>
      <c r="C60" s="10"/>
      <c r="D60" s="10"/>
      <c r="E60" s="10"/>
      <c r="F60" s="10"/>
      <c r="G60" s="10"/>
      <c r="H60" s="10"/>
      <c r="I60" s="10"/>
      <c r="J60" s="10"/>
      <c r="K60" s="10"/>
      <c r="L60" s="10"/>
      <c r="M60" s="10"/>
      <c r="N60" s="10"/>
      <c r="O60" s="10"/>
      <c r="P60" s="10"/>
    </row>
    <row r="61" customFormat="false" ht="15" hidden="false" customHeight="true" outlineLevel="0" collapsed="false">
      <c r="A61" s="10"/>
      <c r="B61" s="10"/>
      <c r="C61" s="10"/>
      <c r="D61" s="10"/>
      <c r="E61" s="10"/>
      <c r="F61" s="10"/>
      <c r="G61" s="10"/>
      <c r="H61" s="10"/>
      <c r="I61" s="10"/>
      <c r="J61" s="10"/>
      <c r="K61" s="10"/>
      <c r="L61" s="10"/>
      <c r="M61" s="10"/>
      <c r="N61" s="10"/>
      <c r="O61" s="10"/>
      <c r="P61" s="10"/>
    </row>
    <row r="62" customFormat="false" ht="15" hidden="false" customHeight="true" outlineLevel="0" collapsed="false">
      <c r="A62" s="10"/>
      <c r="B62" s="10"/>
      <c r="C62" s="10"/>
      <c r="D62" s="10"/>
      <c r="E62" s="10"/>
      <c r="F62" s="10"/>
      <c r="G62" s="10"/>
      <c r="H62" s="10"/>
      <c r="I62" s="10"/>
      <c r="J62" s="10"/>
      <c r="K62" s="10"/>
      <c r="L62" s="10"/>
      <c r="M62" s="10"/>
      <c r="N62" s="10"/>
      <c r="O62" s="10"/>
      <c r="P62" s="10"/>
    </row>
    <row r="63" customFormat="false" ht="15" hidden="false" customHeight="true" outlineLevel="0" collapsed="false">
      <c r="A63" s="10"/>
      <c r="B63" s="10"/>
      <c r="C63" s="10"/>
      <c r="D63" s="10"/>
      <c r="E63" s="10"/>
      <c r="F63" s="10"/>
      <c r="G63" s="10"/>
      <c r="H63" s="10"/>
      <c r="I63" s="10"/>
      <c r="J63" s="10"/>
      <c r="K63" s="10"/>
      <c r="L63" s="10"/>
      <c r="M63" s="10"/>
      <c r="N63" s="10"/>
      <c r="O63" s="10"/>
      <c r="P63" s="10"/>
    </row>
    <row r="64" customFormat="false" ht="15" hidden="false" customHeight="true" outlineLevel="0" collapsed="false">
      <c r="A64" s="10"/>
      <c r="B64" s="10"/>
      <c r="C64" s="10"/>
      <c r="D64" s="10"/>
      <c r="E64" s="10"/>
      <c r="F64" s="10"/>
      <c r="G64" s="10"/>
      <c r="H64" s="10"/>
      <c r="I64" s="10"/>
      <c r="J64" s="10"/>
      <c r="K64" s="10"/>
      <c r="L64" s="10"/>
      <c r="M64" s="10"/>
      <c r="N64" s="10"/>
      <c r="O64" s="10"/>
      <c r="P64" s="10"/>
    </row>
    <row r="65" customFormat="false" ht="15" hidden="false" customHeight="true" outlineLevel="0" collapsed="false">
      <c r="A65" s="10"/>
      <c r="B65" s="10"/>
      <c r="C65" s="10"/>
      <c r="D65" s="10"/>
      <c r="E65" s="10"/>
      <c r="F65" s="10"/>
      <c r="G65" s="10"/>
      <c r="H65" s="10"/>
      <c r="I65" s="10"/>
      <c r="J65" s="10"/>
      <c r="K65" s="10"/>
      <c r="L65" s="10"/>
      <c r="M65" s="10"/>
      <c r="N65" s="10"/>
      <c r="O65" s="10"/>
      <c r="P65" s="10"/>
    </row>
    <row r="66" customFormat="false" ht="15" hidden="false" customHeight="true" outlineLevel="0" collapsed="false">
      <c r="A66" s="10"/>
      <c r="B66" s="10"/>
      <c r="C66" s="10"/>
      <c r="D66" s="10"/>
      <c r="E66" s="10"/>
      <c r="F66" s="10"/>
      <c r="G66" s="10"/>
      <c r="H66" s="10"/>
      <c r="I66" s="10"/>
      <c r="J66" s="10"/>
      <c r="K66" s="10"/>
      <c r="L66" s="10"/>
      <c r="M66" s="10"/>
      <c r="N66" s="10"/>
      <c r="O66" s="10"/>
      <c r="P66" s="10"/>
    </row>
    <row r="67" customFormat="false" ht="15" hidden="false" customHeight="true" outlineLevel="0" collapsed="false">
      <c r="A67" s="10"/>
      <c r="B67" s="10"/>
      <c r="C67" s="10"/>
      <c r="D67" s="10"/>
      <c r="E67" s="10"/>
      <c r="F67" s="10"/>
      <c r="G67" s="10"/>
      <c r="H67" s="10"/>
      <c r="I67" s="10"/>
      <c r="J67" s="10"/>
      <c r="K67" s="10"/>
      <c r="L67" s="10"/>
      <c r="M67" s="10"/>
      <c r="N67" s="10"/>
      <c r="O67" s="10"/>
      <c r="P67" s="10"/>
    </row>
    <row r="68" customFormat="false" ht="15" hidden="false" customHeight="true" outlineLevel="0" collapsed="false">
      <c r="A68" s="10"/>
      <c r="B68" s="10"/>
      <c r="C68" s="10"/>
      <c r="D68" s="10"/>
      <c r="E68" s="10"/>
      <c r="F68" s="10"/>
      <c r="G68" s="10"/>
      <c r="H68" s="10"/>
      <c r="I68" s="10"/>
      <c r="J68" s="10"/>
      <c r="K68" s="10"/>
      <c r="L68" s="10"/>
      <c r="M68" s="10"/>
      <c r="N68" s="10"/>
      <c r="O68" s="10"/>
      <c r="P68" s="10"/>
    </row>
    <row r="69" customFormat="false" ht="15" hidden="false" customHeight="true" outlineLevel="0" collapsed="false">
      <c r="A69" s="10"/>
      <c r="B69" s="10"/>
      <c r="C69" s="10"/>
      <c r="D69" s="10"/>
      <c r="E69" s="10"/>
      <c r="F69" s="10"/>
      <c r="G69" s="10"/>
      <c r="H69" s="10"/>
      <c r="I69" s="10"/>
      <c r="J69" s="10"/>
      <c r="K69" s="10"/>
      <c r="L69" s="10"/>
      <c r="M69" s="10"/>
      <c r="N69" s="10"/>
      <c r="O69" s="10"/>
      <c r="P69" s="10"/>
    </row>
    <row r="70" customFormat="false" ht="15" hidden="false" customHeight="true" outlineLevel="0" collapsed="false">
      <c r="A70" s="10"/>
      <c r="B70" s="10"/>
      <c r="C70" s="10"/>
      <c r="D70" s="10"/>
      <c r="E70" s="10"/>
      <c r="F70" s="10"/>
      <c r="G70" s="10"/>
      <c r="H70" s="10"/>
      <c r="I70" s="10"/>
      <c r="J70" s="10"/>
      <c r="K70" s="10"/>
      <c r="L70" s="10"/>
      <c r="M70" s="10"/>
      <c r="N70" s="10"/>
      <c r="O70" s="10"/>
      <c r="P70" s="10"/>
    </row>
    <row r="71" customFormat="false" ht="15" hidden="false" customHeight="true" outlineLevel="0" collapsed="false">
      <c r="A71" s="10"/>
      <c r="B71" s="10"/>
      <c r="C71" s="10"/>
      <c r="D71" s="10"/>
      <c r="E71" s="10"/>
      <c r="F71" s="10"/>
      <c r="G71" s="10"/>
      <c r="H71" s="10"/>
      <c r="I71" s="10"/>
      <c r="J71" s="10"/>
      <c r="K71" s="10"/>
      <c r="L71" s="10"/>
      <c r="M71" s="10"/>
      <c r="N71" s="10"/>
      <c r="O71" s="10"/>
      <c r="P71" s="10"/>
    </row>
    <row r="72" customFormat="false" ht="15" hidden="false" customHeight="true" outlineLevel="0" collapsed="false">
      <c r="A72" s="10"/>
      <c r="B72" s="10"/>
      <c r="C72" s="10"/>
      <c r="D72" s="10"/>
      <c r="E72" s="10"/>
      <c r="F72" s="10"/>
      <c r="G72" s="10"/>
      <c r="H72" s="10"/>
      <c r="I72" s="10"/>
      <c r="J72" s="10"/>
      <c r="K72" s="10"/>
      <c r="L72" s="10"/>
      <c r="M72" s="10"/>
      <c r="N72" s="10"/>
      <c r="O72" s="10"/>
      <c r="P72" s="10"/>
    </row>
    <row r="73" customFormat="false" ht="15" hidden="false" customHeight="true" outlineLevel="0" collapsed="false">
      <c r="A73" s="10"/>
      <c r="B73" s="10"/>
      <c r="C73" s="10"/>
      <c r="D73" s="10"/>
      <c r="E73" s="10"/>
      <c r="F73" s="10"/>
      <c r="G73" s="10"/>
      <c r="H73" s="10"/>
      <c r="I73" s="10"/>
      <c r="J73" s="10"/>
      <c r="K73" s="10"/>
      <c r="L73" s="10"/>
      <c r="M73" s="10"/>
      <c r="N73" s="10"/>
      <c r="O73" s="10"/>
      <c r="P73" s="10"/>
    </row>
    <row r="74" customFormat="false" ht="15" hidden="false" customHeight="true" outlineLevel="0" collapsed="false">
      <c r="A74" s="10"/>
      <c r="B74" s="10"/>
      <c r="C74" s="10"/>
      <c r="D74" s="10"/>
      <c r="E74" s="10"/>
      <c r="F74" s="10"/>
      <c r="G74" s="10"/>
      <c r="H74" s="10"/>
      <c r="I74" s="10"/>
      <c r="J74" s="10"/>
      <c r="K74" s="10"/>
      <c r="L74" s="10"/>
      <c r="M74" s="10"/>
      <c r="N74" s="10"/>
      <c r="O74" s="10"/>
      <c r="P74" s="10"/>
    </row>
    <row r="75" customFormat="false" ht="15" hidden="false" customHeight="true" outlineLevel="0" collapsed="false">
      <c r="A75" s="10"/>
      <c r="B75" s="10"/>
      <c r="C75" s="10"/>
      <c r="D75" s="10"/>
      <c r="E75" s="10"/>
      <c r="F75" s="10"/>
      <c r="G75" s="10"/>
      <c r="H75" s="10"/>
      <c r="I75" s="10"/>
      <c r="J75" s="10"/>
      <c r="K75" s="10"/>
      <c r="L75" s="10"/>
      <c r="M75" s="10"/>
      <c r="N75" s="10"/>
      <c r="O75" s="10"/>
      <c r="P75" s="10"/>
    </row>
    <row r="76" customFormat="false" ht="15" hidden="false" customHeight="true" outlineLevel="0" collapsed="false">
      <c r="A76" s="10"/>
      <c r="B76" s="10"/>
      <c r="C76" s="10"/>
      <c r="D76" s="10"/>
      <c r="E76" s="10"/>
      <c r="F76" s="10"/>
      <c r="G76" s="10"/>
      <c r="H76" s="10"/>
      <c r="I76" s="10"/>
      <c r="J76" s="10"/>
      <c r="K76" s="10"/>
      <c r="L76" s="10"/>
      <c r="M76" s="10"/>
      <c r="N76" s="10"/>
      <c r="O76" s="10"/>
      <c r="P76" s="10"/>
    </row>
    <row r="77" customFormat="false" ht="15" hidden="false" customHeight="true" outlineLevel="0" collapsed="false">
      <c r="A77" s="10"/>
      <c r="B77" s="10"/>
      <c r="C77" s="10"/>
      <c r="D77" s="10"/>
      <c r="E77" s="10"/>
      <c r="F77" s="10"/>
      <c r="G77" s="10"/>
      <c r="H77" s="10"/>
      <c r="I77" s="10"/>
      <c r="J77" s="10"/>
      <c r="K77" s="10"/>
      <c r="L77" s="10"/>
      <c r="M77" s="10"/>
      <c r="N77" s="10"/>
      <c r="O77" s="10"/>
      <c r="P77" s="10"/>
    </row>
    <row r="78" customFormat="false" ht="15" hidden="false" customHeight="true" outlineLevel="0" collapsed="false">
      <c r="A78" s="10"/>
      <c r="B78" s="10"/>
      <c r="C78" s="10"/>
      <c r="D78" s="10"/>
      <c r="E78" s="10"/>
      <c r="F78" s="10"/>
      <c r="G78" s="10"/>
      <c r="H78" s="10"/>
      <c r="I78" s="10"/>
      <c r="J78" s="10"/>
      <c r="K78" s="10"/>
      <c r="L78" s="10"/>
      <c r="M78" s="10"/>
      <c r="N78" s="10"/>
      <c r="O78" s="10"/>
      <c r="P78" s="10"/>
    </row>
    <row r="79" customFormat="false" ht="15" hidden="false" customHeight="true" outlineLevel="0" collapsed="false">
      <c r="A79" s="10"/>
      <c r="B79" s="10"/>
      <c r="C79" s="10"/>
      <c r="D79" s="10"/>
      <c r="E79" s="10"/>
      <c r="F79" s="10"/>
      <c r="G79" s="10"/>
      <c r="H79" s="10"/>
      <c r="I79" s="10"/>
      <c r="J79" s="10"/>
      <c r="K79" s="10"/>
      <c r="L79" s="10"/>
      <c r="M79" s="10"/>
      <c r="N79" s="10"/>
      <c r="O79" s="10"/>
      <c r="P79" s="10"/>
    </row>
    <row r="80" customFormat="false" ht="15" hidden="false" customHeight="true" outlineLevel="0" collapsed="false">
      <c r="A80" s="10"/>
      <c r="B80" s="10"/>
      <c r="C80" s="10"/>
      <c r="D80" s="10"/>
      <c r="E80" s="10"/>
      <c r="F80" s="10"/>
      <c r="G80" s="10"/>
      <c r="H80" s="10"/>
      <c r="I80" s="10"/>
      <c r="J80" s="10"/>
      <c r="K80" s="10"/>
      <c r="L80" s="10"/>
      <c r="M80" s="10"/>
      <c r="N80" s="10"/>
      <c r="O80" s="10"/>
      <c r="P80" s="10"/>
    </row>
    <row r="81" customFormat="false" ht="15" hidden="false" customHeight="true" outlineLevel="0" collapsed="false">
      <c r="A81" s="10"/>
      <c r="B81" s="10"/>
      <c r="C81" s="10"/>
      <c r="D81" s="10"/>
      <c r="E81" s="10"/>
      <c r="F81" s="10"/>
      <c r="G81" s="10"/>
      <c r="H81" s="10"/>
      <c r="I81" s="10"/>
      <c r="J81" s="10"/>
      <c r="K81" s="10"/>
      <c r="L81" s="10"/>
      <c r="M81" s="10"/>
      <c r="N81" s="10"/>
      <c r="O81" s="10"/>
      <c r="P81" s="10"/>
    </row>
    <row r="82" customFormat="false" ht="15" hidden="false" customHeight="true" outlineLevel="0" collapsed="false">
      <c r="A82" s="10"/>
      <c r="B82" s="10"/>
      <c r="C82" s="10"/>
      <c r="D82" s="10"/>
      <c r="E82" s="10"/>
      <c r="F82" s="10"/>
      <c r="G82" s="10"/>
      <c r="H82" s="10"/>
      <c r="I82" s="10"/>
      <c r="J82" s="10"/>
      <c r="K82" s="10"/>
      <c r="L82" s="10"/>
      <c r="M82" s="10"/>
      <c r="N82" s="10"/>
      <c r="O82" s="10"/>
      <c r="P82" s="10"/>
    </row>
    <row r="83" customFormat="false" ht="15" hidden="false" customHeight="true" outlineLevel="0" collapsed="false">
      <c r="A83" s="10"/>
      <c r="B83" s="10"/>
      <c r="C83" s="10"/>
      <c r="D83" s="10"/>
      <c r="E83" s="10"/>
      <c r="F83" s="10"/>
      <c r="G83" s="10"/>
      <c r="H83" s="10"/>
      <c r="I83" s="10"/>
      <c r="J83" s="10"/>
      <c r="K83" s="10"/>
      <c r="L83" s="10"/>
      <c r="M83" s="10"/>
      <c r="N83" s="10"/>
      <c r="O83" s="10"/>
      <c r="P83" s="10"/>
    </row>
    <row r="84" customFormat="false" ht="15" hidden="false" customHeight="true" outlineLevel="0" collapsed="false">
      <c r="A84" s="10"/>
      <c r="B84" s="10"/>
      <c r="C84" s="10"/>
      <c r="D84" s="10"/>
      <c r="E84" s="10"/>
      <c r="F84" s="10"/>
      <c r="G84" s="10"/>
      <c r="H84" s="10"/>
      <c r="I84" s="10"/>
      <c r="J84" s="10"/>
      <c r="K84" s="10"/>
      <c r="L84" s="10"/>
      <c r="M84" s="10"/>
      <c r="N84" s="10"/>
      <c r="O84" s="10"/>
      <c r="P84" s="10"/>
    </row>
    <row r="85" customFormat="false" ht="15" hidden="false" customHeight="true" outlineLevel="0" collapsed="false">
      <c r="A85" s="10"/>
      <c r="B85" s="10"/>
      <c r="C85" s="10"/>
      <c r="D85" s="10"/>
      <c r="E85" s="10"/>
      <c r="F85" s="10"/>
      <c r="G85" s="10"/>
      <c r="H85" s="10"/>
      <c r="I85" s="10"/>
      <c r="J85" s="10"/>
      <c r="K85" s="10"/>
      <c r="L85" s="10"/>
      <c r="M85" s="10"/>
      <c r="N85" s="10"/>
      <c r="O85" s="10"/>
      <c r="P85" s="10"/>
    </row>
    <row r="86" customFormat="false" ht="15" hidden="false" customHeight="true" outlineLevel="0" collapsed="false">
      <c r="A86" s="10"/>
      <c r="B86" s="10"/>
      <c r="C86" s="10"/>
      <c r="D86" s="10"/>
      <c r="E86" s="10"/>
      <c r="F86" s="10"/>
      <c r="G86" s="10"/>
      <c r="H86" s="10"/>
      <c r="I86" s="10"/>
      <c r="J86" s="10"/>
      <c r="K86" s="10"/>
      <c r="L86" s="10"/>
      <c r="M86" s="10"/>
      <c r="N86" s="10"/>
      <c r="O86" s="10"/>
      <c r="P86" s="10"/>
    </row>
    <row r="87" customFormat="false" ht="15" hidden="false" customHeight="true" outlineLevel="0" collapsed="false">
      <c r="A87" s="10"/>
      <c r="B87" s="10"/>
      <c r="C87" s="10"/>
      <c r="D87" s="10"/>
      <c r="E87" s="10"/>
      <c r="F87" s="10"/>
      <c r="G87" s="10"/>
      <c r="H87" s="10"/>
      <c r="I87" s="10"/>
      <c r="J87" s="10"/>
      <c r="K87" s="10"/>
      <c r="L87" s="10"/>
      <c r="M87" s="10"/>
      <c r="N87" s="10"/>
      <c r="O87" s="10"/>
      <c r="P87" s="10"/>
    </row>
    <row r="88" customFormat="false" ht="15" hidden="false" customHeight="true" outlineLevel="0" collapsed="false">
      <c r="A88" s="10"/>
      <c r="B88" s="10"/>
      <c r="C88" s="10"/>
      <c r="D88" s="10"/>
      <c r="E88" s="10"/>
      <c r="F88" s="10"/>
      <c r="G88" s="10"/>
      <c r="H88" s="10"/>
      <c r="I88" s="10"/>
      <c r="J88" s="10"/>
      <c r="K88" s="10"/>
      <c r="L88" s="10"/>
      <c r="M88" s="10"/>
      <c r="N88" s="10"/>
      <c r="O88" s="10"/>
      <c r="P88" s="10"/>
    </row>
    <row r="89" customFormat="false" ht="15" hidden="false" customHeight="true" outlineLevel="0" collapsed="false">
      <c r="A89" s="10"/>
      <c r="B89" s="10"/>
      <c r="C89" s="10"/>
      <c r="D89" s="10"/>
      <c r="E89" s="10"/>
      <c r="F89" s="10"/>
      <c r="G89" s="10"/>
      <c r="H89" s="10"/>
      <c r="I89" s="10"/>
      <c r="J89" s="10"/>
      <c r="K89" s="10"/>
      <c r="L89" s="10"/>
      <c r="M89" s="10"/>
      <c r="N89" s="10"/>
      <c r="O89" s="10"/>
      <c r="P89" s="10"/>
    </row>
    <row r="90" customFormat="false" ht="15" hidden="false" customHeight="true" outlineLevel="0" collapsed="false">
      <c r="A90" s="10"/>
      <c r="B90" s="10"/>
      <c r="C90" s="10"/>
      <c r="D90" s="10"/>
      <c r="E90" s="10"/>
      <c r="F90" s="10"/>
      <c r="G90" s="10"/>
      <c r="H90" s="10"/>
      <c r="I90" s="10"/>
      <c r="J90" s="10"/>
      <c r="K90" s="10"/>
      <c r="L90" s="10"/>
      <c r="M90" s="10"/>
      <c r="N90" s="10"/>
      <c r="O90" s="10"/>
      <c r="P90" s="10"/>
    </row>
    <row r="91" customFormat="false" ht="15" hidden="false" customHeight="true" outlineLevel="0" collapsed="false">
      <c r="A91" s="10"/>
      <c r="B91" s="10"/>
      <c r="C91" s="10"/>
      <c r="D91" s="10"/>
      <c r="E91" s="10"/>
      <c r="F91" s="10"/>
      <c r="G91" s="10"/>
      <c r="H91" s="10"/>
      <c r="I91" s="10"/>
      <c r="J91" s="10"/>
      <c r="K91" s="10"/>
      <c r="L91" s="10"/>
      <c r="M91" s="10"/>
      <c r="N91" s="10"/>
      <c r="O91" s="10"/>
      <c r="P91" s="10"/>
    </row>
    <row r="92" customFormat="false" ht="15" hidden="false" customHeight="true" outlineLevel="0" collapsed="false">
      <c r="A92" s="10"/>
      <c r="B92" s="10"/>
      <c r="C92" s="10"/>
      <c r="D92" s="10"/>
      <c r="E92" s="10"/>
      <c r="F92" s="10"/>
      <c r="G92" s="10"/>
      <c r="H92" s="10"/>
      <c r="I92" s="10"/>
      <c r="J92" s="10"/>
      <c r="K92" s="10"/>
      <c r="L92" s="10"/>
      <c r="M92" s="10"/>
      <c r="N92" s="10"/>
      <c r="O92" s="10"/>
      <c r="P92" s="10"/>
    </row>
    <row r="93" customFormat="false" ht="15" hidden="false" customHeight="true" outlineLevel="0" collapsed="false">
      <c r="A93" s="10"/>
      <c r="B93" s="10"/>
      <c r="C93" s="10"/>
      <c r="D93" s="10"/>
      <c r="E93" s="10"/>
      <c r="F93" s="10"/>
      <c r="G93" s="10"/>
      <c r="H93" s="10"/>
      <c r="I93" s="10"/>
      <c r="J93" s="10"/>
      <c r="K93" s="10"/>
      <c r="L93" s="10"/>
      <c r="M93" s="10"/>
      <c r="N93" s="10"/>
      <c r="O93" s="10"/>
      <c r="P93" s="10"/>
    </row>
    <row r="94" customFormat="false" ht="15" hidden="false" customHeight="true" outlineLevel="0" collapsed="false">
      <c r="A94" s="10"/>
      <c r="B94" s="10"/>
      <c r="C94" s="10"/>
      <c r="D94" s="10"/>
      <c r="E94" s="10"/>
      <c r="F94" s="10"/>
      <c r="G94" s="10"/>
      <c r="H94" s="10"/>
      <c r="I94" s="10"/>
      <c r="J94" s="10"/>
      <c r="K94" s="10"/>
      <c r="L94" s="10"/>
      <c r="M94" s="10"/>
      <c r="N94" s="10"/>
      <c r="O94" s="10"/>
      <c r="P94" s="10"/>
    </row>
    <row r="95" customFormat="false" ht="15" hidden="false" customHeight="true" outlineLevel="0" collapsed="false">
      <c r="A95" s="10"/>
      <c r="B95" s="10"/>
      <c r="C95" s="10"/>
      <c r="D95" s="10"/>
      <c r="E95" s="10"/>
      <c r="F95" s="10"/>
      <c r="G95" s="10"/>
      <c r="H95" s="10"/>
      <c r="I95" s="10"/>
      <c r="J95" s="10"/>
      <c r="K95" s="10"/>
      <c r="L95" s="10"/>
      <c r="M95" s="10"/>
      <c r="N95" s="10"/>
      <c r="O95" s="10"/>
      <c r="P95" s="10"/>
    </row>
    <row r="96" customFormat="false" ht="15" hidden="false" customHeight="true" outlineLevel="0" collapsed="false">
      <c r="A96" s="10"/>
      <c r="B96" s="10"/>
      <c r="C96" s="10"/>
      <c r="D96" s="10"/>
      <c r="E96" s="10"/>
      <c r="F96" s="10"/>
      <c r="G96" s="10"/>
      <c r="H96" s="10"/>
      <c r="I96" s="10"/>
      <c r="J96" s="10"/>
      <c r="K96" s="10"/>
      <c r="L96" s="10"/>
      <c r="M96" s="10"/>
      <c r="N96" s="10"/>
      <c r="O96" s="10"/>
      <c r="P96" s="10"/>
    </row>
    <row r="97" customFormat="false" ht="15" hidden="false" customHeight="true" outlineLevel="0" collapsed="false">
      <c r="A97" s="10"/>
      <c r="B97" s="10"/>
      <c r="C97" s="10"/>
      <c r="D97" s="10"/>
      <c r="E97" s="10"/>
      <c r="F97" s="10"/>
      <c r="G97" s="10"/>
      <c r="H97" s="10"/>
      <c r="I97" s="10"/>
      <c r="J97" s="10"/>
      <c r="K97" s="10"/>
      <c r="L97" s="10"/>
      <c r="M97" s="10"/>
      <c r="N97" s="10"/>
      <c r="O97" s="10"/>
      <c r="P97" s="10"/>
    </row>
    <row r="98" customFormat="false" ht="15" hidden="false" customHeight="true" outlineLevel="0" collapsed="false">
      <c r="A98" s="10"/>
      <c r="B98" s="10"/>
      <c r="C98" s="10"/>
      <c r="D98" s="10"/>
      <c r="E98" s="10"/>
      <c r="F98" s="10"/>
      <c r="G98" s="10"/>
      <c r="H98" s="10"/>
      <c r="I98" s="10"/>
      <c r="J98" s="10"/>
      <c r="K98" s="10"/>
      <c r="L98" s="10"/>
      <c r="M98" s="10"/>
      <c r="N98" s="10"/>
      <c r="O98" s="10"/>
      <c r="P98" s="10"/>
    </row>
    <row r="99" customFormat="false" ht="15" hidden="false" customHeight="true" outlineLevel="0" collapsed="false">
      <c r="A99" s="10"/>
      <c r="B99" s="10"/>
      <c r="C99" s="10"/>
      <c r="D99" s="10"/>
      <c r="E99" s="10"/>
      <c r="F99" s="10"/>
      <c r="G99" s="10"/>
      <c r="H99" s="10"/>
      <c r="I99" s="10"/>
      <c r="J99" s="10"/>
      <c r="K99" s="10"/>
      <c r="L99" s="10"/>
      <c r="M99" s="10"/>
      <c r="N99" s="10"/>
      <c r="O99" s="10"/>
      <c r="P99" s="10"/>
    </row>
    <row r="100" customFormat="false" ht="15" hidden="false" customHeight="true" outlineLevel="0" collapsed="false">
      <c r="A100" s="10"/>
      <c r="B100" s="10"/>
      <c r="C100" s="10"/>
      <c r="D100" s="10"/>
      <c r="E100" s="10"/>
      <c r="F100" s="10"/>
      <c r="G100" s="10"/>
      <c r="H100" s="10"/>
      <c r="I100" s="10"/>
      <c r="J100" s="10"/>
      <c r="K100" s="10"/>
      <c r="L100" s="10"/>
      <c r="M100" s="10"/>
      <c r="N100" s="10"/>
      <c r="O100" s="10"/>
      <c r="P100" s="10"/>
    </row>
    <row r="101" customFormat="false" ht="15" hidden="false" customHeight="true" outlineLevel="0" collapsed="false">
      <c r="A101" s="10"/>
      <c r="B101" s="10"/>
      <c r="C101" s="10"/>
      <c r="D101" s="10"/>
      <c r="E101" s="10"/>
      <c r="F101" s="10"/>
      <c r="G101" s="10"/>
      <c r="H101" s="10"/>
      <c r="I101" s="10"/>
      <c r="J101" s="10"/>
      <c r="K101" s="10"/>
      <c r="L101" s="10"/>
      <c r="M101" s="10"/>
      <c r="N101" s="10"/>
      <c r="O101" s="10"/>
      <c r="P101" s="10"/>
    </row>
    <row r="102" customFormat="false" ht="15" hidden="false" customHeight="true" outlineLevel="0" collapsed="false">
      <c r="A102" s="10"/>
      <c r="B102" s="10"/>
      <c r="C102" s="10"/>
      <c r="D102" s="10"/>
      <c r="E102" s="10"/>
      <c r="F102" s="10"/>
      <c r="G102" s="10"/>
      <c r="H102" s="10"/>
      <c r="I102" s="10"/>
      <c r="J102" s="10"/>
      <c r="K102" s="10"/>
      <c r="L102" s="10"/>
      <c r="M102" s="10"/>
      <c r="N102" s="10"/>
      <c r="O102" s="10"/>
      <c r="P102" s="10"/>
    </row>
    <row r="103" customFormat="false" ht="15" hidden="false" customHeight="true" outlineLevel="0" collapsed="false">
      <c r="A103" s="10"/>
      <c r="B103" s="10"/>
      <c r="C103" s="10"/>
      <c r="D103" s="10"/>
      <c r="E103" s="10"/>
      <c r="F103" s="10"/>
      <c r="G103" s="10"/>
      <c r="H103" s="10"/>
      <c r="I103" s="10"/>
      <c r="J103" s="10"/>
      <c r="K103" s="10"/>
      <c r="L103" s="10"/>
      <c r="M103" s="10"/>
      <c r="N103" s="10"/>
      <c r="O103" s="10"/>
      <c r="P103" s="10"/>
    </row>
    <row r="104" customFormat="false" ht="15" hidden="false" customHeight="true" outlineLevel="0" collapsed="false">
      <c r="A104" s="10"/>
      <c r="B104" s="10"/>
      <c r="C104" s="10"/>
      <c r="D104" s="10"/>
      <c r="E104" s="10"/>
      <c r="F104" s="10"/>
      <c r="G104" s="10"/>
      <c r="H104" s="10"/>
      <c r="I104" s="10"/>
      <c r="J104" s="10"/>
      <c r="K104" s="10"/>
      <c r="L104" s="10"/>
      <c r="M104" s="10"/>
      <c r="N104" s="10"/>
      <c r="O104" s="10"/>
      <c r="P104" s="10"/>
    </row>
    <row r="105" customFormat="false" ht="15" hidden="false" customHeight="true" outlineLevel="0" collapsed="false">
      <c r="A105" s="10"/>
      <c r="B105" s="10"/>
      <c r="C105" s="10"/>
      <c r="D105" s="10"/>
      <c r="E105" s="10"/>
      <c r="F105" s="10"/>
      <c r="G105" s="10"/>
      <c r="H105" s="10"/>
      <c r="I105" s="10"/>
      <c r="J105" s="10"/>
      <c r="K105" s="10"/>
      <c r="L105" s="10"/>
      <c r="M105" s="10"/>
      <c r="N105" s="10"/>
      <c r="O105" s="10"/>
      <c r="P105" s="10"/>
    </row>
    <row r="106" customFormat="false" ht="15" hidden="false" customHeight="true" outlineLevel="0" collapsed="false">
      <c r="A106" s="10"/>
      <c r="B106" s="10"/>
      <c r="C106" s="10"/>
      <c r="D106" s="10"/>
      <c r="E106" s="10"/>
      <c r="F106" s="10"/>
      <c r="G106" s="10"/>
      <c r="H106" s="10"/>
      <c r="I106" s="10"/>
      <c r="J106" s="10"/>
      <c r="K106" s="10"/>
      <c r="L106" s="10"/>
      <c r="M106" s="10"/>
      <c r="N106" s="10"/>
      <c r="O106" s="10"/>
      <c r="P106" s="10"/>
    </row>
    <row r="107" customFormat="false" ht="15" hidden="false" customHeight="true" outlineLevel="0" collapsed="false">
      <c r="A107" s="10"/>
      <c r="B107" s="10"/>
      <c r="C107" s="10"/>
      <c r="D107" s="10"/>
      <c r="E107" s="10"/>
      <c r="F107" s="10"/>
      <c r="G107" s="10"/>
      <c r="H107" s="10"/>
      <c r="I107" s="10"/>
      <c r="J107" s="10"/>
      <c r="K107" s="10"/>
      <c r="L107" s="10"/>
      <c r="M107" s="10"/>
      <c r="N107" s="10"/>
      <c r="O107" s="10"/>
      <c r="P107" s="10"/>
    </row>
    <row r="108" customFormat="false" ht="15" hidden="false" customHeight="true" outlineLevel="0" collapsed="false">
      <c r="A108" s="10"/>
      <c r="B108" s="10"/>
      <c r="C108" s="10"/>
      <c r="D108" s="10"/>
      <c r="E108" s="10"/>
      <c r="F108" s="10"/>
      <c r="G108" s="10"/>
      <c r="H108" s="10"/>
      <c r="I108" s="10"/>
      <c r="J108" s="10"/>
      <c r="K108" s="10"/>
      <c r="L108" s="10"/>
      <c r="M108" s="10"/>
      <c r="N108" s="10"/>
      <c r="O108" s="10"/>
      <c r="P108" s="10"/>
    </row>
    <row r="109" customFormat="false" ht="15" hidden="false" customHeight="true" outlineLevel="0" collapsed="false">
      <c r="A109" s="10"/>
      <c r="B109" s="10"/>
      <c r="C109" s="10"/>
      <c r="D109" s="10"/>
      <c r="E109" s="10"/>
      <c r="F109" s="10"/>
      <c r="G109" s="10"/>
      <c r="H109" s="10"/>
      <c r="I109" s="10"/>
      <c r="J109" s="10"/>
      <c r="K109" s="10"/>
      <c r="L109" s="10"/>
      <c r="M109" s="10"/>
      <c r="N109" s="10"/>
      <c r="O109" s="10"/>
      <c r="P109" s="10"/>
    </row>
    <row r="110" customFormat="false" ht="15" hidden="false" customHeight="true" outlineLevel="0" collapsed="false">
      <c r="A110" s="10"/>
      <c r="B110" s="10"/>
      <c r="C110" s="10"/>
      <c r="D110" s="10"/>
      <c r="E110" s="10"/>
      <c r="F110" s="10"/>
      <c r="G110" s="10"/>
      <c r="H110" s="10"/>
      <c r="I110" s="10"/>
      <c r="J110" s="10"/>
      <c r="K110" s="10"/>
      <c r="L110" s="10"/>
      <c r="M110" s="10"/>
      <c r="N110" s="10"/>
      <c r="O110" s="10"/>
      <c r="P110" s="10"/>
    </row>
    <row r="111" customFormat="false" ht="15" hidden="false" customHeight="true" outlineLevel="0" collapsed="false">
      <c r="A111" s="10"/>
      <c r="B111" s="10"/>
      <c r="C111" s="10"/>
      <c r="D111" s="10"/>
      <c r="E111" s="10"/>
      <c r="F111" s="10"/>
      <c r="G111" s="10"/>
      <c r="H111" s="10"/>
      <c r="I111" s="10"/>
      <c r="J111" s="10"/>
      <c r="K111" s="10"/>
      <c r="L111" s="10"/>
      <c r="M111" s="10"/>
      <c r="N111" s="10"/>
      <c r="O111" s="10"/>
      <c r="P111" s="10"/>
    </row>
    <row r="112" customFormat="false" ht="15" hidden="false" customHeight="true" outlineLevel="0" collapsed="false">
      <c r="A112" s="10"/>
      <c r="B112" s="10"/>
      <c r="C112" s="10"/>
      <c r="D112" s="10"/>
      <c r="E112" s="10"/>
      <c r="F112" s="10"/>
      <c r="G112" s="10"/>
      <c r="H112" s="10"/>
      <c r="I112" s="10"/>
      <c r="J112" s="10"/>
      <c r="K112" s="10"/>
      <c r="L112" s="10"/>
      <c r="M112" s="10"/>
      <c r="N112" s="10"/>
      <c r="O112" s="10"/>
      <c r="P112" s="10"/>
    </row>
    <row r="113" customFormat="false" ht="15" hidden="false" customHeight="true" outlineLevel="0" collapsed="false">
      <c r="A113" s="10"/>
      <c r="B113" s="10"/>
      <c r="C113" s="10"/>
      <c r="D113" s="10"/>
      <c r="E113" s="10"/>
      <c r="F113" s="10"/>
      <c r="G113" s="10"/>
      <c r="H113" s="10"/>
      <c r="I113" s="10"/>
      <c r="J113" s="10"/>
      <c r="K113" s="10"/>
      <c r="L113" s="10"/>
      <c r="M113" s="10"/>
      <c r="N113" s="10"/>
      <c r="O113" s="10"/>
      <c r="P113" s="10"/>
    </row>
    <row r="114" customFormat="false" ht="15" hidden="false" customHeight="true" outlineLevel="0" collapsed="false">
      <c r="A114" s="10"/>
      <c r="B114" s="10"/>
      <c r="C114" s="10"/>
      <c r="D114" s="10"/>
      <c r="E114" s="10"/>
      <c r="F114" s="10"/>
      <c r="G114" s="10"/>
      <c r="H114" s="10"/>
      <c r="I114" s="10"/>
      <c r="J114" s="10"/>
      <c r="K114" s="10"/>
      <c r="L114" s="10"/>
      <c r="M114" s="10"/>
      <c r="N114" s="10"/>
      <c r="O114" s="10"/>
      <c r="P114" s="10"/>
    </row>
    <row r="115" customFormat="false" ht="15" hidden="false" customHeight="true" outlineLevel="0" collapsed="false">
      <c r="A115" s="10"/>
      <c r="B115" s="10"/>
      <c r="C115" s="10"/>
      <c r="D115" s="10"/>
      <c r="E115" s="10"/>
      <c r="F115" s="10"/>
      <c r="G115" s="10"/>
      <c r="H115" s="10"/>
      <c r="I115" s="10"/>
      <c r="J115" s="10"/>
      <c r="K115" s="10"/>
      <c r="L115" s="10"/>
      <c r="M115" s="10"/>
      <c r="N115" s="10"/>
      <c r="O115" s="10"/>
      <c r="P115" s="10"/>
    </row>
    <row r="116" customFormat="false" ht="15" hidden="false" customHeight="true" outlineLevel="0" collapsed="false">
      <c r="A116" s="10"/>
      <c r="B116" s="10"/>
      <c r="C116" s="10"/>
      <c r="D116" s="10"/>
      <c r="E116" s="10"/>
      <c r="F116" s="10"/>
      <c r="G116" s="10"/>
      <c r="H116" s="10"/>
      <c r="I116" s="10"/>
      <c r="J116" s="10"/>
      <c r="K116" s="10"/>
      <c r="L116" s="10"/>
      <c r="M116" s="10"/>
      <c r="N116" s="10"/>
      <c r="O116" s="10"/>
      <c r="P116" s="10"/>
    </row>
    <row r="117" customFormat="false" ht="15" hidden="false" customHeight="true" outlineLevel="0" collapsed="false">
      <c r="A117" s="10"/>
      <c r="B117" s="10"/>
      <c r="C117" s="10"/>
      <c r="D117" s="10"/>
      <c r="E117" s="10"/>
      <c r="F117" s="10"/>
      <c r="G117" s="10"/>
      <c r="H117" s="10"/>
      <c r="I117" s="10"/>
      <c r="J117" s="10"/>
      <c r="K117" s="10"/>
      <c r="L117" s="10"/>
      <c r="M117" s="10"/>
      <c r="N117" s="10"/>
      <c r="O117" s="10"/>
      <c r="P117" s="10"/>
    </row>
    <row r="118" customFormat="false" ht="15" hidden="false" customHeight="true" outlineLevel="0" collapsed="false">
      <c r="A118" s="10"/>
      <c r="B118" s="10"/>
      <c r="C118" s="10"/>
      <c r="D118" s="10"/>
      <c r="E118" s="10"/>
      <c r="F118" s="10"/>
      <c r="G118" s="10"/>
      <c r="H118" s="10"/>
      <c r="I118" s="10"/>
      <c r="J118" s="10"/>
      <c r="K118" s="10"/>
      <c r="L118" s="10"/>
      <c r="M118" s="10"/>
      <c r="N118" s="10"/>
      <c r="O118" s="10"/>
      <c r="P118" s="10"/>
    </row>
    <row r="119" customFormat="false" ht="15" hidden="false" customHeight="true" outlineLevel="0" collapsed="false">
      <c r="A119" s="10"/>
      <c r="B119" s="10"/>
      <c r="C119" s="10"/>
      <c r="D119" s="10"/>
      <c r="E119" s="10"/>
      <c r="F119" s="10"/>
      <c r="G119" s="10"/>
      <c r="H119" s="10"/>
      <c r="I119" s="10"/>
      <c r="J119" s="10"/>
      <c r="K119" s="10"/>
      <c r="L119" s="10"/>
      <c r="M119" s="10"/>
      <c r="N119" s="10"/>
      <c r="O119" s="10"/>
      <c r="P119" s="10"/>
    </row>
    <row r="120" customFormat="false" ht="69" hidden="false" customHeight="true" outlineLevel="0" collapsed="false"/>
    <row r="121" customFormat="false" ht="76.5" hidden="false" customHeight="true" outlineLevel="0" collapsed="false"/>
    <row r="122" customFormat="false" ht="75" hidden="false" customHeight="true" outlineLevel="0" collapsed="false"/>
    <row r="123" customFormat="false" ht="64.5" hidden="false" customHeight="true" outlineLevel="0" collapsed="false"/>
    <row r="124" customFormat="false" ht="66.75" hidden="false" customHeight="true" outlineLevel="0" collapsed="false"/>
    <row r="125" customFormat="false" ht="66.75" hidden="false" customHeight="true" outlineLevel="0" collapsed="false"/>
  </sheetData>
  <conditionalFormatting sqref="M2:M19">
    <cfRule type="expression" priority="2" aboveAverage="0" equalAverage="0" bottom="0" percent="0" rank="0" text="" dxfId="0">
      <formula>ISNUMBER(SEARCH("Completed",M2))</formula>
    </cfRule>
    <cfRule type="expression" priority="3" aboveAverage="0" equalAverage="0" bottom="0" percent="0" rank="0" text="" dxfId="0">
      <formula>ISNUMBER(SEARCH("Done",M2))</formula>
    </cfRule>
    <cfRule type="expression" priority="4" aboveAverage="0" equalAverage="0" bottom="0" percent="0" rank="0" text="" dxfId="1">
      <formula>ISNUMBER(SEARCH("Progress",M2))</formula>
    </cfRule>
    <cfRule type="expression" priority="5" aboveAverage="0" equalAverage="0" bottom="0" percent="0" rank="0" text="" dxfId="2">
      <formula>ISNUMBER(SEARCH("Blocked",M2))</formula>
    </cfRule>
    <cfRule type="expression" priority="6" aboveAverage="0" equalAverage="0" bottom="0" percent="0" rank="0" text="" dxfId="3">
      <formula>ISNUMBER(SEARCH("Planned",M2))</formula>
    </cfRule>
    <cfRule type="expression" priority="7" aboveAverage="0" equalAverage="0" bottom="0" percent="0" rank="0" text="" dxfId="3">
      <formula>ISNUMBER(SEARCH("Not Started",M2))</formula>
    </cfRule>
  </conditionalFormatting>
  <conditionalFormatting sqref="P2:P19">
    <cfRule type="dataBar" priority="8">
      <dataBar showValue="1" minLength="10" maxLength="90">
        <cfvo type="num" val="0"/>
        <cfvo type="num" val="100"/>
        <color rgb="FF638EC6"/>
      </dataBar>
      <extLst>
        <ext xmlns:x14="http://schemas.microsoft.com/office/spreadsheetml/2009/9/main" uri="{B025F937-C7B1-47D3-B67F-A62EFF666E3E}">
          <x14:id>{849D64AC-A318-451E-A572-3DBB28B8203C}</x14:id>
        </ext>
      </extLst>
    </cfRule>
    <cfRule type="dataBar" priority="9">
      <dataBar showValue="1" minLength="10" maxLength="90">
        <cfvo type="num" val="0"/>
        <cfvo type="num" val="100"/>
        <color rgb="FF638EC6"/>
      </dataBar>
      <extLst>
        <ext xmlns:x14="http://schemas.microsoft.com/office/spreadsheetml/2009/9/main" uri="{B025F937-C7B1-47D3-B67F-A62EFF666E3E}">
          <x14:id>{60747091-90D4-4FFE-833C-743E2D7AE0D6}</x14:id>
        </ext>
      </extLst>
    </cfRule>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extLst>
    <ext xmlns:x14="http://schemas.microsoft.com/office/spreadsheetml/2009/9/main" uri="{78C0D931-6437-407d-A8EE-F0AAD7539E65}">
      <x14:conditionalFormattings>
        <x14:conditionalFormatting xmlns:xm="http://schemas.microsoft.com/office/excel/2006/main">
          <x14:cfRule type="dataBar" id="{849D64AC-A318-451E-A572-3DBB28B8203C}">
            <x14:dataBar minLength="10" maxLength="90" axisPosition="none" gradient="true">
              <x14:cfvo type="num">
                <xm:f>0</xm:f>
              </x14:cfvo>
              <x14:cfvo type="num">
                <xm:f>100</xm:f>
              </x14:cfvo>
              <x14:negativeFillColor rgb="FF638EC6"/>
              <x14:axisColor rgb="FF000000"/>
            </x14:dataBar>
          </x14:cfRule>
          <x14:cfRule type="dataBar" id="{60747091-90D4-4FFE-833C-743E2D7AE0D6}">
            <x14:dataBar minLength="10" maxLength="90" axisPosition="none" gradient="true">
              <x14:cfvo type="num">
                <xm:f>0</xm:f>
              </x14:cfvo>
              <x14:cfvo type="num">
                <xm:f>100</xm:f>
              </x14:cfvo>
              <x14:negativeFillColor rgb="FF638EC6"/>
              <x14:axisColor rgb="FF000000"/>
            </x14:dataBar>
          </x14:cfRule>
          <xm:sqref>P2:P19</xm:sqref>
        </x14:conditionalFormatting>
      </x14:conditionalFormatting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6796875" defaultRowHeight="15" customHeight="false" zeroHeight="false" outlineLevelRow="0" outlineLevelCol="0"/>
  <cols>
    <col collapsed="false" customWidth="true" hidden="false" outlineLevel="0" max="2" min="1" style="0" width="10"/>
    <col collapsed="false" customWidth="true" hidden="false" outlineLevel="0" max="3" min="3" style="0" width="26"/>
    <col collapsed="false" customWidth="true" hidden="false" outlineLevel="0" max="5" min="4" style="0" width="13"/>
    <col collapsed="false" customWidth="true" hidden="false" outlineLevel="0" max="6" min="6" style="0" width="30"/>
    <col collapsed="false" customWidth="true" hidden="false" outlineLevel="0" max="7" min="7" style="0" width="14"/>
    <col collapsed="false" customWidth="true" hidden="false" outlineLevel="0" max="8" min="8" style="0" width="40"/>
  </cols>
  <sheetData>
    <row r="1" customFormat="false" ht="30" hidden="false" customHeight="true" outlineLevel="0" collapsed="false">
      <c r="A1" s="4" t="s">
        <v>411</v>
      </c>
      <c r="B1" s="4" t="s">
        <v>412</v>
      </c>
      <c r="C1" s="4" t="s">
        <v>413</v>
      </c>
      <c r="D1" s="4" t="s">
        <v>60</v>
      </c>
      <c r="E1" s="4" t="s">
        <v>414</v>
      </c>
      <c r="F1" s="4" t="s">
        <v>415</v>
      </c>
      <c r="G1" s="4" t="s">
        <v>13</v>
      </c>
      <c r="H1" s="4" t="s">
        <v>416</v>
      </c>
    </row>
    <row r="2" customFormat="false" ht="23.25" hidden="false" customHeight="true" outlineLevel="0" collapsed="false">
      <c r="A2" s="5" t="s">
        <v>417</v>
      </c>
      <c r="B2" s="5" t="s">
        <v>418</v>
      </c>
      <c r="C2" s="5" t="s">
        <v>419</v>
      </c>
      <c r="D2" s="16"/>
      <c r="E2" s="16"/>
      <c r="F2" s="12" t="s">
        <v>420</v>
      </c>
      <c r="G2" s="5" t="s">
        <v>421</v>
      </c>
      <c r="H2" s="12" t="s">
        <v>422</v>
      </c>
    </row>
  </sheetData>
  <conditionalFormatting sqref="G2">
    <cfRule type="expression" priority="2" aboveAverage="0" equalAverage="0" bottom="0" percent="0" rank="0" text="" dxfId="0">
      <formula>ISNUMBER(SEARCH("Completed",G2))</formula>
    </cfRule>
    <cfRule type="expression" priority="3" aboveAverage="0" equalAverage="0" bottom="0" percent="0" rank="0" text="" dxfId="0">
      <formula>ISNUMBER(SEARCH("Done",G2))</formula>
    </cfRule>
    <cfRule type="expression" priority="4" aboveAverage="0" equalAverage="0" bottom="0" percent="0" rank="0" text="" dxfId="1">
      <formula>ISNUMBER(SEARCH("Progress",G2))</formula>
    </cfRule>
    <cfRule type="expression" priority="5" aboveAverage="0" equalAverage="0" bottom="0" percent="0" rank="0" text="" dxfId="2">
      <formula>ISNUMBER(SEARCH("Blocked",G2))</formula>
    </cfRule>
    <cfRule type="expression" priority="6" aboveAverage="0" equalAverage="0" bottom="0" percent="0" rank="0" text="" dxfId="3">
      <formula>ISNUMBER(SEARCH("Planned",G2))</formula>
    </cfRule>
    <cfRule type="expression" priority="7" aboveAverage="0" equalAverage="0" bottom="0" percent="0" rank="0" text="" dxfId="3">
      <formula>ISNUMBER(SEARCH("Not Started",G2))</formula>
    </cfRule>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6796875" defaultRowHeight="15" customHeight="false" zeroHeight="false" outlineLevelRow="0" outlineLevelCol="0"/>
  <cols>
    <col collapsed="false" customWidth="true" hidden="false" outlineLevel="0" max="1" min="1" style="0" width="12"/>
    <col collapsed="false" customWidth="true" hidden="false" outlineLevel="0" max="2" min="2" style="0" width="30"/>
    <col collapsed="false" customWidth="true" hidden="false" outlineLevel="0" max="3" min="3" style="0" width="55"/>
    <col collapsed="false" customWidth="true" hidden="false" outlineLevel="0" max="4" min="4" style="0" width="12"/>
    <col collapsed="false" customWidth="true" hidden="false" outlineLevel="0" max="5" min="5" style="0" width="13"/>
    <col collapsed="false" customWidth="true" hidden="false" outlineLevel="0" max="6" min="6" style="0" width="26"/>
  </cols>
  <sheetData>
    <row r="1" customFormat="false" ht="30" hidden="false" customHeight="true" outlineLevel="0" collapsed="false">
      <c r="A1" s="4" t="s">
        <v>423</v>
      </c>
      <c r="B1" s="4" t="s">
        <v>227</v>
      </c>
      <c r="C1" s="4" t="s">
        <v>424</v>
      </c>
      <c r="D1" s="4" t="s">
        <v>13</v>
      </c>
      <c r="E1" s="4" t="s">
        <v>425</v>
      </c>
      <c r="F1" s="4" t="s">
        <v>426</v>
      </c>
    </row>
    <row r="2" customFormat="false" ht="23.25" hidden="false" customHeight="true" outlineLevel="0" collapsed="false">
      <c r="A2" s="5" t="s">
        <v>427</v>
      </c>
      <c r="B2" s="12" t="s">
        <v>428</v>
      </c>
      <c r="C2" s="12" t="s">
        <v>429</v>
      </c>
      <c r="D2" s="5" t="s">
        <v>430</v>
      </c>
      <c r="E2" s="16"/>
      <c r="F2" s="5" t="s">
        <v>431</v>
      </c>
    </row>
  </sheetData>
  <dataValidations count="1">
    <dataValidation allowBlank="true" errorStyle="stop" operator="between" showDropDown="false" showErrorMessage="false" showInputMessage="false" sqref="D2:D50" type="list">
      <formula1>"Proposed,Approved,Rejected,Superseded"</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6796875" defaultRowHeight="15" customHeight="false" zeroHeight="false" outlineLevelRow="0" outlineLevelCol="0"/>
  <cols>
    <col collapsed="false" customWidth="true" hidden="false" outlineLevel="0" max="1" min="1" style="0" width="10"/>
    <col collapsed="false" customWidth="true" hidden="false" outlineLevel="0" max="2" min="2" style="0" width="26"/>
    <col collapsed="false" customWidth="true" hidden="false" outlineLevel="0" max="3" min="3" style="0" width="46"/>
    <col collapsed="false" customWidth="true" hidden="false" outlineLevel="0" max="4" min="4" style="0" width="12"/>
    <col collapsed="false" customWidth="true" hidden="false" outlineLevel="0" max="5" min="5" style="0" width="10"/>
    <col collapsed="false" customWidth="true" hidden="false" outlineLevel="0" max="6" min="6" style="0" width="12"/>
    <col collapsed="false" customWidth="true" hidden="false" outlineLevel="0" max="7" min="7" style="0" width="40"/>
    <col collapsed="false" customWidth="true" hidden="false" outlineLevel="0" max="8" min="8" style="0" width="12"/>
  </cols>
  <sheetData>
    <row r="1" customFormat="false" ht="30" hidden="false" customHeight="true" outlineLevel="0" collapsed="false">
      <c r="A1" s="17" t="s">
        <v>432</v>
      </c>
      <c r="B1" s="17" t="s">
        <v>227</v>
      </c>
      <c r="C1" s="17" t="s">
        <v>43</v>
      </c>
      <c r="D1" s="17" t="s">
        <v>433</v>
      </c>
      <c r="E1" s="17" t="s">
        <v>434</v>
      </c>
      <c r="F1" s="17" t="s">
        <v>62</v>
      </c>
      <c r="G1" s="17" t="s">
        <v>435</v>
      </c>
      <c r="H1" s="17" t="s">
        <v>13</v>
      </c>
    </row>
    <row r="2" customFormat="false" ht="15" hidden="false" customHeight="true" outlineLevel="0" collapsed="false">
      <c r="A2" s="2"/>
    </row>
  </sheetData>
  <conditionalFormatting sqref="H2">
    <cfRule type="expression" priority="2" aboveAverage="0" equalAverage="0" bottom="0" percent="0" rank="0" text="" dxfId="0">
      <formula>ISNUMBER(SEARCH("Completed",H2))</formula>
    </cfRule>
    <cfRule type="expression" priority="3" aboveAverage="0" equalAverage="0" bottom="0" percent="0" rank="0" text="" dxfId="0">
      <formula>ISNUMBER(SEARCH("Done",H2))</formula>
    </cfRule>
    <cfRule type="expression" priority="4" aboveAverage="0" equalAverage="0" bottom="0" percent="0" rank="0" text="" dxfId="1">
      <formula>ISNUMBER(SEARCH("Progress",H2))</formula>
    </cfRule>
    <cfRule type="expression" priority="5" aboveAverage="0" equalAverage="0" bottom="0" percent="0" rank="0" text="" dxfId="2">
      <formula>ISNUMBER(SEARCH("Blocked",H2))</formula>
    </cfRule>
    <cfRule type="expression" priority="6" aboveAverage="0" equalAverage="0" bottom="0" percent="0" rank="0" text="" dxfId="3">
      <formula>ISNUMBER(SEARCH("Planned",H2))</formula>
    </cfRule>
    <cfRule type="expression" priority="7" aboveAverage="0" equalAverage="0" bottom="0" percent="0" rank="0" text="" dxfId="3">
      <formula>ISNUMBER(SEARCH("Not Started",H2))</formula>
    </cfRule>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6796875" defaultRowHeight="15" customHeight="false" zeroHeight="false" outlineLevelRow="0" outlineLevelCol="0"/>
  <sheetData>
    <row r="1" customFormat="false" ht="15" hidden="false" customHeight="true" outlineLevel="0" collapsed="false">
      <c r="A1" s="18" t="s">
        <v>13</v>
      </c>
      <c r="B1" s="18" t="s">
        <v>436</v>
      </c>
      <c r="C1" s="18" t="s">
        <v>229</v>
      </c>
      <c r="D1" s="18" t="s">
        <v>232</v>
      </c>
      <c r="E1" s="18" t="s">
        <v>62</v>
      </c>
      <c r="F1" s="18" t="s">
        <v>437</v>
      </c>
      <c r="G1" s="18" t="s">
        <v>438</v>
      </c>
      <c r="H1" s="18" t="s">
        <v>433</v>
      </c>
      <c r="I1" s="18" t="s">
        <v>434</v>
      </c>
      <c r="J1" s="18" t="s">
        <v>439</v>
      </c>
      <c r="K1" s="18" t="s">
        <v>440</v>
      </c>
      <c r="L1" s="18" t="s">
        <v>441</v>
      </c>
    </row>
    <row r="2" customFormat="false" ht="15" hidden="false" customHeight="true" outlineLevel="0" collapsed="false">
      <c r="A2" s="0" t="s">
        <v>28</v>
      </c>
      <c r="B2" s="0" t="s">
        <v>28</v>
      </c>
      <c r="C2" s="0" t="s">
        <v>442</v>
      </c>
      <c r="D2" s="0" t="n">
        <v>1</v>
      </c>
      <c r="E2" s="0" t="s">
        <v>443</v>
      </c>
      <c r="F2" s="0" t="s">
        <v>421</v>
      </c>
      <c r="G2" s="0" t="s">
        <v>444</v>
      </c>
      <c r="H2" s="0" t="s">
        <v>442</v>
      </c>
      <c r="I2" s="0" t="s">
        <v>442</v>
      </c>
      <c r="J2" s="0" t="s">
        <v>445</v>
      </c>
      <c r="K2" s="0" t="s">
        <v>446</v>
      </c>
      <c r="L2" s="0" t="s">
        <v>447</v>
      </c>
    </row>
    <row r="3" customFormat="false" ht="15" hidden="false" customHeight="true" outlineLevel="0" collapsed="false">
      <c r="A3" s="0" t="s">
        <v>22</v>
      </c>
      <c r="B3" s="0" t="s">
        <v>22</v>
      </c>
      <c r="C3" s="0" t="s">
        <v>260</v>
      </c>
      <c r="D3" s="0" t="n">
        <v>2</v>
      </c>
      <c r="E3" s="0" t="s">
        <v>448</v>
      </c>
      <c r="F3" s="0" t="s">
        <v>449</v>
      </c>
      <c r="G3" s="0" t="s">
        <v>450</v>
      </c>
      <c r="H3" s="0" t="s">
        <v>260</v>
      </c>
      <c r="I3" s="0" t="s">
        <v>260</v>
      </c>
      <c r="J3" s="0" t="s">
        <v>451</v>
      </c>
      <c r="K3" s="0" t="s">
        <v>452</v>
      </c>
      <c r="L3" s="0" t="s">
        <v>453</v>
      </c>
    </row>
    <row r="4" customFormat="false" ht="15" hidden="false" customHeight="true" outlineLevel="0" collapsed="false">
      <c r="A4" s="0" t="s">
        <v>25</v>
      </c>
      <c r="B4" s="0" t="s">
        <v>25</v>
      </c>
      <c r="C4" s="0" t="s">
        <v>238</v>
      </c>
      <c r="D4" s="0" t="n">
        <v>3</v>
      </c>
      <c r="F4" s="0" t="s">
        <v>454</v>
      </c>
      <c r="G4" s="0" t="s">
        <v>455</v>
      </c>
      <c r="H4" s="0" t="s">
        <v>238</v>
      </c>
      <c r="I4" s="0" t="s">
        <v>238</v>
      </c>
      <c r="J4" s="0" t="s">
        <v>456</v>
      </c>
      <c r="K4" s="0" t="s">
        <v>457</v>
      </c>
      <c r="L4" s="0" t="s">
        <v>458</v>
      </c>
    </row>
    <row r="5" customFormat="false" ht="15" hidden="false" customHeight="true" outlineLevel="0" collapsed="false">
      <c r="A5" s="0" t="s">
        <v>459</v>
      </c>
      <c r="B5" s="0" t="s">
        <v>19</v>
      </c>
      <c r="C5" s="0" t="s">
        <v>295</v>
      </c>
      <c r="D5" s="0" t="n">
        <v>5</v>
      </c>
      <c r="F5" s="0" t="s">
        <v>460</v>
      </c>
      <c r="J5" s="0" t="s">
        <v>461</v>
      </c>
      <c r="L5" s="0" t="s">
        <v>462</v>
      </c>
    </row>
    <row r="6" customFormat="false" ht="15" hidden="false" customHeight="true" outlineLevel="0" collapsed="false">
      <c r="D6" s="0" t="n">
        <v>8</v>
      </c>
      <c r="J6" s="0" t="s">
        <v>463</v>
      </c>
      <c r="L6" s="0" t="s">
        <v>464</v>
      </c>
    </row>
    <row r="7" customFormat="false" ht="15" hidden="false" customHeight="true" outlineLevel="0" collapsed="false">
      <c r="D7" s="0" t="n">
        <v>13</v>
      </c>
      <c r="J7" s="0" t="s">
        <v>465</v>
      </c>
    </row>
    <row r="8" customFormat="false" ht="15" hidden="false" customHeight="true" outlineLevel="0" collapsed="false">
      <c r="D8" s="0" t="n">
        <v>21</v>
      </c>
      <c r="J8" s="0" t="s">
        <v>466</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6796875" defaultRowHeight="15" customHeight="false" zeroHeight="false" outlineLevelRow="0" outlineLevelCol="0"/>
  <cols>
    <col collapsed="false" customWidth="true" hidden="false" outlineLevel="0" max="1" min="1" style="0" width="11"/>
    <col collapsed="false" customWidth="true" hidden="false" outlineLevel="0" max="2" min="2" style="0" width="13"/>
    <col collapsed="false" customWidth="true" hidden="false" outlineLevel="0" max="3" min="3" style="0" width="22"/>
    <col collapsed="false" customWidth="true" hidden="false" outlineLevel="0" max="4" min="4" style="0" width="26"/>
    <col collapsed="false" customWidth="true" hidden="false" outlineLevel="0" max="5" min="5" style="0" width="10"/>
    <col collapsed="false" customWidth="true" hidden="false" outlineLevel="0" max="6" min="6" style="0" width="12"/>
    <col collapsed="false" customWidth="true" hidden="false" outlineLevel="0" max="7" min="7" style="0" width="16"/>
    <col collapsed="false" customWidth="true" hidden="false" outlineLevel="0" max="8" min="8" style="0" width="14"/>
    <col collapsed="false" customWidth="true" hidden="false" outlineLevel="0" max="9" min="9" style="0" width="16"/>
    <col collapsed="false" customWidth="true" hidden="false" outlineLevel="0" max="10" min="10" style="0" width="24"/>
    <col collapsed="false" customWidth="true" hidden="false" outlineLevel="0" max="12" min="12" style="0" width="22"/>
    <col collapsed="false" customWidth="true" hidden="false" outlineLevel="0" max="13" min="13" style="0" width="14"/>
  </cols>
  <sheetData>
    <row r="1" customFormat="false" ht="27.75" hidden="false" customHeight="true" outlineLevel="0" collapsed="false">
      <c r="A1" s="4" t="s">
        <v>467</v>
      </c>
      <c r="B1" s="4" t="s">
        <v>425</v>
      </c>
      <c r="C1" s="4" t="s">
        <v>439</v>
      </c>
      <c r="D1" s="4" t="s">
        <v>43</v>
      </c>
      <c r="E1" s="4" t="s">
        <v>440</v>
      </c>
      <c r="F1" s="4" t="s">
        <v>468</v>
      </c>
      <c r="G1" s="4" t="s">
        <v>469</v>
      </c>
      <c r="H1" s="4" t="s">
        <v>470</v>
      </c>
      <c r="I1" s="4" t="s">
        <v>441</v>
      </c>
      <c r="J1" s="4" t="s">
        <v>416</v>
      </c>
      <c r="L1" s="2" t="s">
        <v>439</v>
      </c>
      <c r="M1" s="2" t="s">
        <v>471</v>
      </c>
    </row>
    <row r="2" customFormat="false" ht="15" hidden="false" customHeight="false" outlineLevel="0" collapsed="false">
      <c r="A2" s="5" t="s">
        <v>472</v>
      </c>
      <c r="B2" s="16" t="n">
        <v>46211</v>
      </c>
      <c r="C2" s="5" t="s">
        <v>456</v>
      </c>
      <c r="D2" s="12" t="s">
        <v>473</v>
      </c>
      <c r="E2" s="5" t="s">
        <v>446</v>
      </c>
      <c r="F2" s="19" t="n">
        <v>57.5</v>
      </c>
      <c r="G2" s="20" t="n">
        <f aca="false">_xlfn.IFS(E2="AED",1,E2="USD",3.673,E2="EUR",4,TRUE(),1)</f>
        <v>1</v>
      </c>
      <c r="H2" s="19" t="n">
        <f aca="false">F2*G2</f>
        <v>57.5</v>
      </c>
      <c r="I2" s="5" t="s">
        <v>447</v>
      </c>
      <c r="J2" s="12"/>
      <c r="L2" s="0" t="s">
        <v>445</v>
      </c>
      <c r="M2" s="21" t="n">
        <f aca="false">SUMIFS($H$2:$H$3,$C$2:$C$3,L2)</f>
        <v>77.133</v>
      </c>
    </row>
    <row r="3" customFormat="false" ht="15" hidden="false" customHeight="false" outlineLevel="0" collapsed="false">
      <c r="A3" s="5" t="s">
        <v>474</v>
      </c>
      <c r="B3" s="16" t="n">
        <v>46211</v>
      </c>
      <c r="C3" s="5" t="s">
        <v>445</v>
      </c>
      <c r="D3" s="12" t="s">
        <v>475</v>
      </c>
      <c r="E3" s="5" t="s">
        <v>452</v>
      </c>
      <c r="F3" s="19" t="n">
        <v>21</v>
      </c>
      <c r="G3" s="20" t="n">
        <f aca="false">_xlfn.IFS(E3="AED",1,E3="USD",3.673,E3="EUR",4,TRUE(),1)</f>
        <v>3.673</v>
      </c>
      <c r="H3" s="19" t="n">
        <f aca="false">F3*G3</f>
        <v>77.133</v>
      </c>
      <c r="I3" s="5" t="s">
        <v>453</v>
      </c>
      <c r="J3" s="12"/>
      <c r="L3" s="0" t="s">
        <v>451</v>
      </c>
      <c r="M3" s="21" t="n">
        <f aca="false">SUMIFS($H$2:$H$3,$C$2:$C$3,L3)</f>
        <v>0</v>
      </c>
    </row>
    <row r="4" customFormat="false" ht="15" hidden="false" customHeight="false" outlineLevel="0" collapsed="false">
      <c r="L4" s="0" t="s">
        <v>456</v>
      </c>
      <c r="M4" s="21" t="n">
        <f aca="false">SUMIFS($H$2:$H$3,$C$2:$C$3,L4)</f>
        <v>57.5</v>
      </c>
    </row>
    <row r="5" customFormat="false" ht="15" hidden="false" customHeight="false" outlineLevel="0" collapsed="false">
      <c r="D5" s="18" t="s">
        <v>476</v>
      </c>
      <c r="H5" s="22" t="n">
        <f aca="false">SUMPRODUCT((A2:A3&lt;&gt;"")*(H2:H3))</f>
        <v>134.633</v>
      </c>
      <c r="L5" s="0" t="s">
        <v>461</v>
      </c>
      <c r="M5" s="21" t="n">
        <f aca="false">SUMIFS($H$2:$H$3,$C$2:$C$3,L5)</f>
        <v>0</v>
      </c>
    </row>
    <row r="6" customFormat="false" ht="15" hidden="false" customHeight="false" outlineLevel="0" collapsed="false">
      <c r="L6" s="0" t="s">
        <v>463</v>
      </c>
      <c r="M6" s="21" t="n">
        <f aca="false">SUMIFS($H$2:$H$3,$C$2:$C$3,L6)</f>
        <v>0</v>
      </c>
    </row>
    <row r="7" customFormat="false" ht="15" hidden="false" customHeight="false" outlineLevel="0" collapsed="false">
      <c r="L7" s="0" t="s">
        <v>465</v>
      </c>
      <c r="M7" s="21" t="n">
        <f aca="false">SUMIFS($H$2:$H$3,$C$2:$C$3,L7)</f>
        <v>0</v>
      </c>
    </row>
    <row r="8" customFormat="false" ht="15" hidden="false" customHeight="false" outlineLevel="0" collapsed="false">
      <c r="L8" s="0" t="s">
        <v>466</v>
      </c>
      <c r="M8" s="21" t="n">
        <f aca="false">SUMIFS($H$2:$H$3,$C$2:$C$3,L8)</f>
        <v>0</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tableParts>
    <tablePart r:id="rId2"/>
  </tableParts>
</worksheet>
</file>

<file path=docProps/app.xml><?xml version="1.0" encoding="utf-8"?>
<Properties xmlns="http://schemas.openxmlformats.org/officeDocument/2006/extended-properties" xmlns:vt="http://schemas.openxmlformats.org/officeDocument/2006/docPropsVTypes">
  <Template/>
  <TotalTime>0</TotalTime>
  <Application>LibreOffice/26.2.4.2$MacOSX_AARCH64 LibreOffice_project/0229ac93fcf0d7cbc6376066c6f35021cef002dc</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2026-07-17T18:30:06Z</dcterms:created>
  <dc:creator>openpyxl</dc:creator>
  <dc:description/>
  <dc:language>en-GB</dc:language>
  <cp:lastModifiedBy/>
  <dcterms:modified xsi:type="dcterms:W3CDTF">2026-07-17T22:31:43Z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