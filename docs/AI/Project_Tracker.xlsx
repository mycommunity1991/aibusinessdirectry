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<sst xmlns="http://schemas.openxmlformats.org/spreadsheetml/2006/main" count="1032" uniqueCount="477">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</sst>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0.1</v>
      </c>
      <c r="C7" s="6" t="n">
        <v>1</v>
      </c>
      <c r="D7" s="5" t="str">
        <f aca="false">IF(B7=1,"✅ Completed","🔄 In Progress")</f>
        <v>🔄 In Progress</v>
      </c>
      <c r="F7" s="0" t="s">
        <v>17</v>
      </c>
      <c r="G7" s="0" t="s">
        <v>18</v>
      </c>
      <c r="I7" s="0" t="s">
        <v>19</v>
      </c>
      <c r="J7" s="0" t="n">
        <v>18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24</v>
      </c>
      <c r="C9" s="5"/>
      <c r="D9" s="5"/>
      <c r="F9" s="0" t="str">
        <f aca="false">'Phase Tracker'!B3</f>
        <v>Feature Delivery (Vertical Slices)</v>
      </c>
      <c r="G9" s="7" t="n">
        <f aca="false">'Phase Tracker'!E3</f>
        <v>0</v>
      </c>
      <c r="I9" s="0" t="s">
        <v>25</v>
      </c>
      <c r="J9" s="0" t="n">
        <v>0</v>
      </c>
    </row>
    <row r="10" customFormat="false" ht="18" hidden="false" customHeight="true" outlineLevel="0" collapsed="false">
      <c r="A10" s="5" t="s">
        <v>26</v>
      </c>
      <c r="B10" s="5" t="s">
        <v>27</v>
      </c>
      <c r="C10" s="5"/>
      <c r="D10" s="5"/>
      <c r="F10" s="0" t="str">
        <f aca="false">'Phase Tracker'!B4</f>
        <v>Production Readiness</v>
      </c>
      <c r="G10" s="7" t="n">
        <f aca="false">'Phase Tracker'!E4</f>
        <v>0</v>
      </c>
      <c r="I10" s="0" t="s">
        <v>28</v>
      </c>
      <c r="J10" s="0" t="n">
        <v>28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1</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v>
      </c>
      <c r="C13" s="5" t="n">
        <f aca="false">COUNTA(Epics!$C$2:C$100)</f>
        <v>22</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18</v>
      </c>
      <c r="C14" s="5" t="n">
        <f aca="false">B15</f>
        <v>46</v>
      </c>
      <c r="D14" s="5" t="str">
        <f aca="false">IF(B14=C14,"✅ Completed","🔄 In Progress")</f>
        <v>🔄 In Progress</v>
      </c>
    </row>
    <row r="15" customFormat="false" ht="18" hidden="false" customHeight="true" outlineLevel="0" collapsed="false">
      <c r="A15" s="5" t="s">
        <v>33</v>
      </c>
      <c r="B15" s="5" t="n">
        <f aca="false">COUNTA(Stories!$A$2:A$200)</f>
        <v>46</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37</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0.1</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v>
      </c>
      <c r="F3" s="11" t="str">
        <f aca="false">IF(E3=1,"✅ Completed",IF(E3&gt;0,"🔄 In Progress","⏳ Planned"))</f>
        <v>⏳ Planned</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0</v>
      </c>
      <c r="K3" s="12" t="str">
        <f aca="false">IF(COUNTIFS(Epics!$B$2:$B$100,B3,Epics!$K$2:$K$100,"*Blocked*")&gt;0,"🚫 Blocked",IF(J3=1,"✅ Completed",IF(J3&gt;0,"🔄 In Progress","⏳ Planned")))</f>
        <v>⏳ Planned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0</v>
      </c>
      <c r="K4" s="12" t="str">
        <f aca="false">IF(COUNTIFS(Epics!$B$2:$B$100,B4,Epics!$K$2:$K$100,"*Blocked*")&gt;0,"🚫 Blocked",IF(J4=1,"✅ Completed",IF(J4&gt;0,"🔄 In Progress","⏳ Planned")))</f>
        <v>⏳ Planned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0</v>
      </c>
      <c r="K5" s="12" t="str">
        <f aca="false">IF(COUNTIFS(Epics!$B$2:$B$100,B5,Epics!$K$2:$K$100,"*Blocked*")&gt;0,"🚫 Blocked",IF(J5=1,"✅ Completed",IF(J5&gt;0,"🔄 In Progress","⏳ Planned")))</f>
        <v>⏳ Planned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0</v>
      </c>
      <c r="K6" s="12" t="str">
        <f aca="false">IF(COUNTIFS(Epics!$B$2:$B$100,B6,Epics!$K$2:$K$100,"*Blocked*")&gt;0,"🚫 Blocked",IF(J6=1,"✅ Completed",IF(J6&gt;0,"🔄 In Progress","⏳ Planned")))</f>
        <v>⏳ Planned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0</v>
      </c>
      <c r="K7" s="12" t="str">
        <f aca="false">IF(COUNTIFS(Epics!$B$2:$B$100,B7,Epics!$K$2:$K$100,"*Blocked*")&gt;0,"🚫 Blocked",IF(J7=1,"✅ Completed",IF(J7&gt;0,"🔄 In Progress","⏳ Planned")))</f>
        <v>⏳ Planned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0</v>
      </c>
      <c r="K8" s="12" t="str">
        <f aca="false">IF(COUNTIFS(Epics!$B$2:$B$100,B8,Epics!$K$2:$K$100,"*Blocked*")&gt;0,"🚫 Blocked",IF(J8=1,"✅ Completed",IF(J8&gt;0,"🔄 In Progress","⏳ Planned")))</f>
        <v>⏳ Planned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0</v>
      </c>
      <c r="K3" s="11" t="str">
        <f aca="false">IF(COUNTIFS(Stories!$C$2:$C$200,C3,Stories!$M$2:$M$200,"*Blocked*")&gt;0,"🚫 Blocked",IF(J3=1,"✅ Completed",IF(J3&gt;0,"🔄 In Progress","⏳ Planned")))</f>
        <v>⏳ Planned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0</v>
      </c>
      <c r="K4" s="11" t="str">
        <f aca="false">IF(COUNTIFS(Stories!$C$2:$C$200,C4,Stories!$M$2:$M$200,"*Blocked*")&gt;0,"🚫 Blocked",IF(J4=1,"✅ Completed",IF(J4&gt;0,"🔄 In Progress","⏳ Planned")))</f>
        <v>⏳ Planned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0</v>
      </c>
      <c r="K5" s="11" t="str">
        <f aca="false">IF(COUNTIFS(Stories!$C$2:$C$200,C5,Stories!$M$2:$M$200,"*Blocked*")&gt;0,"🚫 Blocked",IF(J5=1,"✅ Completed",IF(J5&gt;0,"🔄 In Progress","⏳ Planned")))</f>
        <v>⏳ Planned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0</v>
      </c>
      <c r="K6" s="11" t="str">
        <f aca="false">IF(COUNTIFS(Stories!$C$2:$C$200,C6,Stories!$M$2:$M$200,"*Blocked*")&gt;0,"🚫 Blocked",IF(J6=1,"✅ Completed",IF(J6&gt;0,"🔄 In Progress","⏳ Planned")))</f>
        <v>⏳ Planned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0</v>
      </c>
      <c r="K7" s="11" t="str">
        <f aca="false">IF(COUNTIFS(Stories!$C$2:$C$200,C7,Stories!$M$2:$M$200,"*Blocked*")&gt;0,"🚫 Blocked",IF(J7=1,"✅ Completed",IF(J7&gt;0,"🔄 In Progress","⏳ Planned")))</f>
        <v>⏳ Planned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0</v>
      </c>
      <c r="K8" s="11" t="str">
        <f aca="false">IF(COUNTIFS(Stories!$C$2:$C$200,C8,Stories!$M$2:$M$200,"*Blocked*")&gt;0,"🚫 Blocked",IF(J8=1,"✅ Completed",IF(J8&gt;0,"🔄 In Progress","⏳ Planned")))</f>
        <v>⏳ Planned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0</v>
      </c>
      <c r="K9" s="11" t="str">
        <f aca="false">IF(COUNTIFS(Stories!$C$2:$C$200,C9,Stories!$M$2:$M$200,"*Blocked*")&gt;0,"🚫 Blocked",IF(J9=1,"✅ Completed",IF(J9&gt;0,"🔄 In Progress","⏳ Planned")))</f>
        <v>⏳ Planned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0</v>
      </c>
      <c r="K10" s="11" t="str">
        <f aca="false">IF(COUNTIFS(Stories!$C$2:$C$200,C10,Stories!$M$2:$M$200,"*Blocked*")&gt;0,"🚫 Blocked",IF(J10=1,"✅ Completed",IF(J10&gt;0,"🔄 In Progress","⏳ Planned")))</f>
        <v>⏳ Planned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0</v>
      </c>
      <c r="K11" s="11" t="str">
        <f aca="false">IF(COUNTIFS(Stories!$C$2:$C$200,C11,Stories!$M$2:$M$200,"*Blocked*")&gt;0,"🚫 Blocked",IF(J11=1,"✅ Completed",IF(J11&gt;0,"🔄 In Progress","⏳ Planned")))</f>
        <v>⏳ Planned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0</v>
      </c>
      <c r="K12" s="11" t="str">
        <f aca="false">IF(COUNTIFS(Stories!$C$2:$C$200,C12,Stories!$M$2:$M$200,"*Blocked*")&gt;0,"🚫 Blocked",IF(J12=1,"✅ Completed",IF(J12&gt;0,"🔄 In Progress","⏳ Planned")))</f>
        <v>⏳ Planned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0</v>
      </c>
      <c r="K13" s="11" t="str">
        <f aca="false">IF(COUNTIFS(Stories!$C$2:$C$200,C13,Stories!$M$2:$M$200,"*Blocked*")&gt;0,"🚫 Blocked",IF(J13=1,"✅ Completed",IF(J13&gt;0,"🔄 In Progress","⏳ Planned")))</f>
        <v>⏳ Planned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c r="B24" s="10"/>
      <c r="C24" s="10"/>
      <c r="D24" s="10"/>
      <c r="E24" s="10"/>
      <c r="F24" s="10"/>
      <c r="G24" s="10"/>
      <c r="H24" s="10"/>
      <c r="I24" s="10"/>
      <c r="J24" s="11"/>
      <c r="K24" s="11"/>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0</v>
      </c>
      <c r="I3" s="11" t="n">
        <f aca="false">IFERROR(H3/G3,0)</f>
        <v>0</v>
      </c>
      <c r="J3" s="11" t="str">
        <f aca="false">IF(COUNTIFS(Stories!$B$2:$B$200,A3,Stories!$M$2:$M$200,"*Blocked*")&gt;0,"🚫 Blocked",IF(I3=1,"✅ Completed",IF(I3&gt;0,"🔄 In Progress","⏳ Planned")))</f>
        <v>⏳ Planned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0</v>
      </c>
      <c r="I4" s="11" t="n">
        <f aca="false">IFERROR(H4/G4,0)</f>
        <v>0</v>
      </c>
      <c r="J4" s="11" t="str">
        <f aca="false">IF(COUNTIFS(Stories!$B$2:$B$200,A4,Stories!$M$2:$M$200,"*Blocked*")&gt;0,"🚫 Blocked",IF(I4=1,"✅ Completed",IF(I4&gt;0,"🔄 In Progress","⏳ Planned")))</f>
        <v>⏳ Planned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0</v>
      </c>
      <c r="I5" s="11" t="n">
        <f aca="false">IFERROR(H5/G5,0)</f>
        <v>0</v>
      </c>
      <c r="J5" s="11" t="str">
        <f aca="false">IF(COUNTIFS(Stories!$B$2:$B$200,A5,Stories!$M$2:$M$200,"*Blocked*")&gt;0,"🚫 Blocked",IF(I5=1,"✅ Completed",IF(I5&gt;0,"🔄 In Progress","⏳ Planned")))</f>
        <v>⏳ Planned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0</v>
      </c>
      <c r="I6" s="11" t="n">
        <f aca="false">IFERROR(H6/G6,0)</f>
        <v>0</v>
      </c>
      <c r="J6" s="11" t="str">
        <f aca="false">IF(COUNTIFS(Stories!$B$2:$B$200,A6,Stories!$M$2:$M$200,"*Blocked*")&gt;0,"🚫 Blocked",IF(I6=1,"✅ Completed",IF(I6&gt;0,"🔄 In Progress","⏳ Planned")))</f>
        <v>⏳ Planned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0</v>
      </c>
      <c r="I7" s="11" t="n">
        <f aca="false">IFERROR(H7/G7,0)</f>
        <v>0</v>
      </c>
      <c r="J7" s="11" t="str">
        <f aca="false">IF(COUNTIFS(Stories!$B$2:$B$200,A7,Stories!$M$2:$M$200,"*Blocked*")&gt;0,"🚫 Blocked",IF(I7=1,"✅ Completed",IF(I7&gt;0,"🔄 In Progress","⏳ Planned")))</f>
        <v>⏳ Planned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2</v>
      </c>
      <c r="H8" s="10" t="n">
        <f aca="false">SUMPRODUCT((Stories!$B$2:$B$200=A8)*(Stories!$P$2:$P$200))</f>
        <v>0</v>
      </c>
      <c r="I8" s="11" t="n">
        <f aca="false">IFERROR(H8/G8,0)</f>
        <v>0</v>
      </c>
      <c r="J8" s="11" t="str">
        <f aca="false">IF(COUNTIFS(Stories!$B$2:$B$200,A8,Stories!$M$2:$M$200,"*Blocked*")&gt;0,"🚫 Blocked",IF(I8=1,"✅ Completed",IF(I8&gt;0,"🔄 In Progress","⏳ Planned")))</f>
        <v>⏳ Planned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296</v>
      </c>
      <c r="N21" s="10"/>
      <c r="O21" s="10" t="s">
        <v>291</v>
      </c>
      <c r="P21" s="10" t="n">
        <f aca="false">IF(ISNUMBER(SEARCH("Done",M21)),1,IF(ISNUMBER(SEARCH("In Progress",M21)),0.5,0))</f>
        <v>0</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296</v>
      </c>
      <c r="N22" s="10"/>
      <c r="O22" s="10" t="s">
        <v>305</v>
      </c>
      <c r="P22" s="10" t="n">
        <f aca="false">IF(ISNUMBER(SEARCH("Done",M22)),1,IF(ISNUMBER(SEARCH("In Progress",M22)),0.5,0))</f>
        <v>0</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296</v>
      </c>
      <c r="N23" s="10"/>
      <c r="O23" s="10" t="s">
        <v>301</v>
      </c>
      <c r="P23" s="10" t="n">
        <f aca="false">IF(ISNUMBER(SEARCH("Done",M23)),1,IF(ISNUMBER(SEARCH("In Progress",M23)),0.5,0))</f>
        <v>0</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296</v>
      </c>
      <c r="N24" s="10"/>
      <c r="O24" s="10" t="s">
        <v>306</v>
      </c>
      <c r="P24" s="10" t="n">
        <f aca="false">IF(ISNUMBER(SEARCH("Done",M24)),1,IF(ISNUMBER(SEARCH("In Progress",M24)),0.5,0))</f>
        <v>0</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296</v>
      </c>
      <c r="N25" s="10"/>
      <c r="O25" s="10" t="s">
        <v>310</v>
      </c>
      <c r="P25" s="10" t="n">
        <f aca="false">IF(ISNUMBER(SEARCH("Done",M25)),1,IF(ISNUMBER(SEARCH("In Progress",M25)),0.5,0))</f>
        <v>0</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296</v>
      </c>
      <c r="N27" s="10"/>
      <c r="O27" s="10" t="s">
        <v>318</v>
      </c>
      <c r="P27" s="10" t="n">
        <f aca="false">IF(ISNUMBER(SEARCH("Done",M27)),1,IF(ISNUMBER(SEARCH("In Progress",M27)),0.5,0))</f>
        <v>0</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296</v>
      </c>
      <c r="N28" s="10"/>
      <c r="O28" s="10" t="s">
        <v>318</v>
      </c>
      <c r="P28" s="10" t="n">
        <f aca="false">IF(ISNUMBER(SEARCH("Done",M28)),1,IF(ISNUMBER(SEARCH("In Progress",M28)),0.5,0))</f>
        <v>0</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296</v>
      </c>
      <c r="N29" s="10"/>
      <c r="O29" s="10" t="s">
        <v>327</v>
      </c>
      <c r="P29" s="10" t="n">
        <f aca="false">IF(ISNUMBER(SEARCH("Done",M29)),1,IF(ISNUMBER(SEARCH("In Progress",M29)),0.5,0))</f>
        <v>0</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296</v>
      </c>
      <c r="N30" s="10"/>
      <c r="O30" s="10" t="s">
        <v>339</v>
      </c>
      <c r="P30" s="10" t="n">
        <f aca="false">IF(ISNUMBER(SEARCH("Done",M30)),1,IF(ISNUMBER(SEARCH("In Progress",M30)),0.5,0))</f>
        <v>0</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296</v>
      </c>
      <c r="N31" s="10"/>
      <c r="O31" s="10" t="s">
        <v>344</v>
      </c>
      <c r="P31" s="10" t="n">
        <f aca="false">IF(ISNUMBER(SEARCH("Done",M31)),1,IF(ISNUMBER(SEARCH("In Progress",M31)),0.5,0))</f>
        <v>0</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296</v>
      </c>
      <c r="N32" s="10"/>
      <c r="O32" s="10" t="s">
        <v>335</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296</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c r="B48" s="10"/>
      <c r="C48" s="10"/>
      <c r="D48" s="10"/>
      <c r="E48" s="10"/>
      <c r="F48" s="10"/>
      <c r="G48" s="10"/>
      <c r="H48" s="10"/>
      <c r="I48" s="10"/>
      <c r="J48" s="10"/>
      <c r="K48" s="10"/>
      <c r="L48" s="10"/>
      <c r="M48" s="10"/>
      <c r="N48" s="10"/>
      <c r="O48" s="10"/>
      <c r="P48" s="10"/>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