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<sst xmlns="http://schemas.openxmlformats.org/spreadsheetml/2006/main" count="1032" uniqueCount="477">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</sst>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0.28958333333333336</v>
      </c>
      <c r="C7" s="6" t="n">
        <v>1</v>
      </c>
      <c r="D7" s="5" t="str">
        <f aca="false">IF(B7=1,"✅ Completed","🔄 In Progress")</f>
        <v>🔄 In Progress</v>
      </c>
      <c r="F7" s="0" t="s">
        <v>17</v>
      </c>
      <c r="G7" s="0" t="s">
        <v>18</v>
      </c>
      <c r="I7" s="0" t="s">
        <v>19</v>
      </c>
      <c r="J7" s="0" t="n">
        <v>25</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72</v>
      </c>
      <c r="C9" s="5"/>
      <c r="D9" s="5"/>
      <c r="F9" s="0" t="str">
        <f aca="false">'Phase Tracker'!B3</f>
        <v>Feature Delivery (Vertical Slices)</v>
      </c>
      <c r="G9" s="7" t="n">
        <f aca="false">'Phase Tracker'!E3</f>
        <v>0.2916666666666667</v>
      </c>
      <c r="I9" s="0" t="s">
        <v>25</v>
      </c>
      <c r="J9" s="0" t="n">
        <v>0</v>
      </c>
    </row>
    <row r="10" customFormat="false" ht="18" hidden="false" customHeight="true" outlineLevel="0" collapsed="false">
      <c r="A10" s="5" t="s">
        <v>26</v>
      </c>
      <c r="B10" s="5" t="s">
        <v>189</v>
      </c>
      <c r="C10" s="5"/>
      <c r="D10" s="5"/>
      <c r="F10" s="0" t="str">
        <f aca="false">'Phase Tracker'!B4</f>
        <v>Production Readiness</v>
      </c>
      <c r="G10" s="7" t="n">
        <f aca="false">'Phase Tracker'!E4</f>
        <v>0</v>
      </c>
      <c r="I10" s="0" t="s">
        <v>28</v>
      </c>
      <c r="J10" s="0" t="n">
        <v>21</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3</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5</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25</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192</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0.28958333333333336</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0.2916666666666667</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0.5</v>
      </c>
      <c r="K5" s="12" t="str">
        <f aca="false">IF(COUNTIFS(Epics!$B$2:$B$100,B5,Epics!$K$2:$K$100,"*Blocked*")&gt;0,"🚫 Blocked",IF(J5=1,"✅ Completed",IF(J5&gt;0,"🔄 In Progress","⏳ Planned")))</f>
        <v>🔄 In Progress</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0</v>
      </c>
      <c r="K6" s="12" t="str">
        <f aca="false">IF(COUNTIFS(Epics!$B$2:$B$100,B6,Epics!$K$2:$K$100,"*Blocked*")&gt;0,"🚫 Blocked",IF(J6=1,"✅ Completed",IF(J6&gt;0,"🔄 In Progress","⏳ Planned")))</f>
        <v>⏳ Planned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0.5</v>
      </c>
      <c r="K7" s="11" t="str">
        <f aca="false">IF(COUNTIFS(Stories!$C$2:$C$200,C7,Stories!$M$2:$M$200,"*Blocked*")&gt;0,"🚫 Blocked",IF(J7=1,"✅ Completed",IF(J7&gt;0,"🔄 In Progress","⏳ Planned")))</f>
        <v>🔄 In Progress</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0</v>
      </c>
      <c r="K8" s="11" t="str">
        <f aca="false">IF(COUNTIFS(Stories!$C$2:$C$200,C8,Stories!$M$2:$M$200,"*Blocked*")&gt;0,"🚫 Blocked",IF(J8=1,"✅ Completed",IF(J8&gt;0,"🔄 In Progress","⏳ Planned")))</f>
        <v>⏳ Planned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0</v>
      </c>
      <c r="K9" s="11" t="str">
        <f aca="false">IF(COUNTIFS(Stories!$C$2:$C$200,C9,Stories!$M$2:$M$200,"*Blocked*")&gt;0,"🚫 Blocked",IF(J9=1,"✅ Completed",IF(J9&gt;0,"🔄 In Progress","⏳ Planned")))</f>
        <v>⏳ Planned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1</v>
      </c>
      <c r="I5" s="11" t="n">
        <f aca="false">IFERROR(H5/G5,0)</f>
        <v>0.5</v>
      </c>
      <c r="J5" s="11" t="str">
        <f aca="false">IF(COUNTIFS(Stories!$B$2:$B$200,A5,Stories!$M$2:$M$200,"*Blocked*")&gt;0,"🚫 Blocked",IF(I5=1,"✅ Completed",IF(I5&gt;0,"🔄 In Progress","⏳ Planned")))</f>
        <v>🔄 In Progress</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0</v>
      </c>
      <c r="I6" s="11" t="n">
        <f aca="false">IFERROR(H6/G6,0)</f>
        <v>0</v>
      </c>
      <c r="J6" s="11" t="str">
        <f aca="false">IF(COUNTIFS(Stories!$B$2:$B$200,A6,Stories!$M$2:$M$200,"*Blocked*")&gt;0,"🚫 Blocked",IF(I6=1,"✅ Completed",IF(I6&gt;0,"🔄 In Progress","⏳ Planned")))</f>
        <v>⏳ Planned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296</v>
      </c>
      <c r="N27" s="10"/>
      <c r="O27" s="10" t="s">
        <v>318</v>
      </c>
      <c r="P27" s="10" t="n">
        <f aca="false">IF(ISNUMBER(SEARCH("Done",M27)),1,IF(ISNUMBER(SEARCH("In Progress",M27)),0.5,0))</f>
        <v>0</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296</v>
      </c>
      <c r="N28" s="10"/>
      <c r="O28" s="10" t="s">
        <v>318</v>
      </c>
      <c r="P28" s="10" t="n">
        <f aca="false">IF(ISNUMBER(SEARCH("Done",M28)),1,IF(ISNUMBER(SEARCH("In Progress",M28)),0.5,0))</f>
        <v>0</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296</v>
      </c>
      <c r="N29" s="10"/>
      <c r="O29" s="10" t="s">
        <v>327</v>
      </c>
      <c r="P29" s="10" t="n">
        <f aca="false">IF(ISNUMBER(SEARCH("Done",M29)),1,IF(ISNUMBER(SEARCH("In Progress",M29)),0.5,0))</f>
        <v>0</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