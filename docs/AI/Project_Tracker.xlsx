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<sst xmlns="http://schemas.openxmlformats.org/spreadsheetml/2006/main" count="1040" uniqueCount="485">
  <si>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</si>
  <si>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</si>
  <si>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</si>
  <si>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</si>
  <si>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</si>
  <si>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</si>
  <si>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</si>
  <si>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</si>
  <si>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</si>
  <si>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</si>
  <si>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</si>
  <si>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</si>
  <si>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</si>
  <si>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</si>
  <si>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</si>
  <si>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</si>
  <si>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</si>
  <si>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</si>
  <si>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</si>
  <si>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</si>
  <si>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</si>
  <si>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</si>
  <si>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</si>
  <si>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</si>
  <si>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</si>
  <si>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</si>
  <si>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</si>
  <si>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</si>
  <si>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</si>
  <si>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</si>
  <si>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</si>
  <si>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</si>
  <si>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</si>
  <si>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</si>
  <si>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</si>
  <si>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</si>
  <si>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</si>
  <si>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</si>
  <si>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</si>
  <si>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</si>
  <si>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</si>
  <si>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</si>
  <si>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</si>
  <si>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</si>
  <si>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</si>
  <si>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</si>
  <si>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</si>
  <si>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</si>
  <si>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</si>
  <si>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</si>
  <si>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</si>
  <si>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</si>
  <si>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</si>
  <si>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</si>
  <si>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</si>
  <si>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</si>
  <si>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</si>
  <si>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</si>
  <si>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</si>
  <si>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</si>
  <si>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</si>
  <si>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</si>
  <si>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</si>
  <si>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</si>
  <si>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</si>
  <si>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</si>
  <si>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</si>
  <si>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</si>
  <si>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</si>
  <si>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</si>
  <si>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</si>
  <si>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</si>
  <si>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</si>
  <si>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</si>
  <si>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</si>
  <si>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</si>
  <si>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</si>
  <si>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</si>
  <si>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</si>
  <si>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</si>
  <si>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</si>
  <si>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</si>
  <si>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</si>
  <si>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</si>
  <si>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</si>
  <si>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</si>
  <si>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</si>
  <si>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</si>
  <si>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</si>
  <si>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</si>
  <si>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</si>
  <si>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</si>
  <si>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</si>
  <si>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</si>
  <si>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</si>
  <si>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</si>
  <si>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</si>
  <si>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</si>
  <si>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</si>
  <si>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</si>
  <si>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</si>
  <si>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</si>
  <si>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</si>
  <si>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</si>
  <si>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</si>
  <si>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</si>
  <si>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</si>
  <si>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</si>
  <si>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</si>
  <si>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</si>
  <si>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</si>
  <si>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</si>
  <si>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</si>
  <si>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</si>
  <si>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</si>
  <si>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</si>
  <si>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</si>
  <si>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</si>
  <si>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</si>
  <si>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</si>
  <si>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</si>
  <si>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</si>
  <si>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</si>
  <si>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</si>
  <si>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</si>
  <si>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</si>
  <si>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</si>
  <si>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</si>
  <si>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</si>
  <si>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</si>
  <si>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</si>
  <si>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</si>
  <si>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</si>
  <si>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</si>
  <si>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</si>
  <si>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</si>
  <si>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</si>
  <si>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</si>
  <si>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</si>
  <si>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</si>
  <si>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</si>
  <si>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</si>
  <si>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</si>
  <si>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</si>
  <si>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</si>
  <si>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</si>
  <si>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</si>
  <si>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</si>
  <si>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</si>
  <si>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</si>
  <si>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</si>
  <si>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</si>
  <si>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</si>
  <si>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</si>
  <si>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</si>
  <si>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</si>
  <si>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</si>
  <si>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</si>
  <si>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</si>
  <si>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</si>
  <si>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</si>
  <si>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</si>
  <si>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</si>
  <si>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</si>
  <si>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</si>
  <si>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</si>
  <si>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</si>
  <si>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</si>
  <si>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</si>
  <si>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</si>
  <si>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</si>
  <si>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</si>
  <si>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</si>
  <si>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</si>
  <si>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</si>
  <si>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</si>
  <si>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</si>
  <si>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</si>
  <si>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</si>
  <si>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</si>
  <si>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</si>
  <si>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</si>
  <si>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</si>
  <si>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</si>
  <si>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</si>
  <si>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</si>
  <si>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</si>
  <si>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</si>
  <si>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</si>
  <si>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</si>
  <si>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</si>
  <si>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</si>
  <si>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</si>
  <si>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</si>
  <si>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</si>
  <si>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</si>
  <si>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</si>
  <si>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</si>
  <si>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</si>
  <si>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</si>
  <si>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</si>
  <si>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</si>
  <si>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</si>
  <si>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</si>
  <si>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</si>
  <si>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</si>
  <si>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</si>
  <si>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</si>
  <si>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</si>
  <si>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</si>
  <si>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</si>
  <si>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</si>
  <si>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</si>
  <si>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</si>
  <si>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</si>
  <si>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</si>
  <si>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</si>
  <si>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</si>
  <si>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</si>
  <si>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</si>
  <si>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</si>
  <si>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</si>
  <si>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</si>
  <si>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</si>
  <si>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</si>
  <si>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</si>
  <si>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</si>
  <si>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</si>
  <si>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</si>
  <si>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</si>
  <si>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</si>
  <si>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</si>
  <si>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</si>
  <si>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</si>
  <si>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</si>
  <si>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</si>
  <si>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</si>
  <si>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</si>
  <si>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</si>
  <si>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</si>
  <si>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</si>
  <si>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</si>
  <si>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</si>
  <si>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</si>
  <si>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</si>
  <si>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</si>
  <si>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</si>
  <si>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</si>
  <si>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</si>
  <si>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</si>
  <si>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</si>
  <si>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</si>
  <si>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</si>
  <si>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</si>
  <si>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</si>
  <si>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</si>
  <si>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</si>
  <si>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</si>
  <si>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</si>
  <si>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</si>
  <si>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</si>
  <si>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</si>
  <si>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</si>
  <si>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</si>
  <si>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</si>
  <si>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</si>
  <si>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</si>
  <si>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</si>
  <si>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</si>
  <si>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</si>
  <si>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</si>
  <si>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</si>
  <si>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</si>
  <si>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</si>
  <si>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</si>
  <si>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</si>
  <si>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</si>
  <si>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</si>
  <si>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</si>
  <si>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</si>
  <si>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</si>
  <si>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</si>
  <si>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</si>
  <si>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</si>
  <si>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</si>
  <si>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</si>
  <si>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</si>
  <si>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</si>
  <si>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</si>
  <si>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</si>
  <si>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</si>
  <si>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</si>
  <si>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</si>
  <si>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</si>
  <si>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</si>
  <si>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</si>
  <si>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</si>
  <si>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</si>
  <si>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</si>
  <si>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</si>
  <si>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</si>
  <si>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</si>
  <si>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</si>
  <si>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</si>
  <si>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</si>
  <si>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</si>
  <si>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</si>
  <si>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</si>
  <si>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</si>
  <si>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</si>
  <si>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</si>
  <si>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</si>
  <si>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</si>
  <si>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</si>
  <si>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</si>
  <si>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</si>
  <si>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</si>
  <si>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</si>
  <si>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</si>
  <si>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</si>
  <si>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</si>
  <si>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</si>
  <si>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</si>
  <si>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</si>
  <si>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</si>
  <si>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</si>
  <si>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</si>
  <si>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</si>
  <si>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</si>
  <si>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</si>
  <si>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</si>
  <si>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</si>
  <si>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</si>
  <si>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</si>
  <si>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</si>
  <si>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</si>
  <si>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</si>
  <si>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</si>
  <si>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</si>
  <si>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</si>
  <si>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</si>
  <si>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</si>
  <si>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</si>
  <si>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</si>
  <si>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</si>
  <si>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</si>
  <si>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</si>
  <si>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</si>
  <si>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</si>
  <si>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</si>
  <si>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</si>
  <si>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</si>
  <si>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</si>
  <si>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</si>
  <si>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</si>
  <si>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</si>
  <si>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</si>
  <si>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</si>
  <si>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</si>
  <si>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</si>
  <si>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</si>
  <si>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</si>
  <si>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</si>
  <si>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</si>
  <si>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</si>
  <si>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</si>
  <si>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</si>
  <si>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</si>
  <si>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</si>
  <si>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</si>
  <si>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</si>
  <si>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</si>
  <si>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</si>
  <si>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</si>
  <si>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</si>
  <si>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</si>
  <si>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</si>
  <si>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</si>
  <si>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</si>
  <si>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</si>
  <si>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</si>
  <si>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</si>
  <si>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</si>
  <si>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</si>
  <si>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</si>
  <si>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</si>
  <si>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</si>
  <si>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</si>
  <si>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</si>
  <si>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</si>
  <si>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</si>
  <si>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</si>
  <si>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</si>
  <si>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</si>
  <si>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</si>
  <si>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</si>
  <si>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</si>
  <si>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</si>
  <si>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</si>
  <si>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</si>
  <si>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</si>
  <si>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</si>
  <si>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</si>
  <si>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</si>
  <si>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</si>
  <si>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</si>
  <si>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</si>
  <si>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</si>
  <si>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</si>
  <si>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</si>
  <si>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</si>
  <si>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</si>
  <si>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</si>
  <si>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</si>
  <si>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</si>
  <si>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</si>
  <si>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</si>
  <si>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</si>
  <si>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</si>
  <si>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</si>
  <si>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</si>
  <si>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</si>
  <si>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</si>
  <si>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</si>
  <si>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</si>
  <si>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</si>
  <si>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</si>
  <si>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</si>
  <si>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</si>
  <si>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</si>
  <si>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</si>
  <si>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</si>
  <si>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</si>
  <si>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</si>
  <si>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</si>
  <si>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</si>
  <si>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</si>
  <si>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</si>
  <si>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</si>
  <si>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</si>
  <si>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</si>
  <si>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</si>
  <si>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</si>
  <si>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</si>
  <si>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</si>
  <si>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</si>
  <si>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</si>
  <si>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</si>
  <si>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</si>
  <si>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</si>
  <si>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</si>
  <si>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</si>
  <si>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</si>
  <si>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</si>
  <si>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</si>
  <si>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</si>
  <si>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</si>
  <si>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</si>
  <si>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</si>
  <si>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</si>
  <si>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</si>
  <si>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</si>
  <si>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</si>
  <si>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</si>
  <si>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</si>
  <si>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</si>
  <si>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</si>
  <si>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</si>
  <si>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</si>
  <si>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</si>
  <si>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</si>
  <si>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</si>
  <si>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</si>
  <si>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</si>
  <si>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</si>
  <si>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</si>
  <si>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</si>
  <si>
    <t xml:space="preserve">CTG-001</t>
  </si>
  <si>
    <t xml:space="preserve">ML7-EP03</t>
  </si>
  <si>
    <t xml:space="preserve">Category Domain</t>
  </si>
  <si>
    <t xml:space="preserve">Build and seed the real Category taxonomy domain, unblocking AI Conversation intake design.</t>
  </si>
  <si>
    <t xml:space="preserve">Build the real Category domain and seed the v1 launch taxonomy</t>
  </si>
  <si>
    <t xml:space="preserve">As the engineering team, we need the real Category domain (category.categories, category.category_question_templates, and the real provider_categories join table) to exist and be seeded with the v1 launch taxonomy, so that AI-001's conversational intake has real categories and follow-up questions to resolve against instead of an interim workaround.
This story builds the schema 04_DATABASE.md's Category Domain section already specifies and seeds it with the 14-category v1 launch taxonomy locked in docs/AI/17_CATEGORY_TAXONOMY.md (13_OPEN_DECISIONS.md item 1). It does not reconcile PRO-002's existing free-text provider_category_labels into the new real categories, and does not change how providers select categories today -- migrating provider-facing category selection to the real domain is a separate, future decision.
Scope boundary: no AI conversation logic (that's AI-001/AI-002). No change to provider_category_labels or DIR-001's existing search matching.</t>
  </si>
  <si>
    <t xml:space="preserve">1. Migration creates category.categories, category.category_question_templates, and category.provider_categories exactly per 04_DATABASE.md's Category Domain section (self-referential parent_category_id, JSONB options, composite PK on provider_categories).
2. Migration seeds category.categories with the 14 categories from docs/AI/17_CATEGORY_TAXONOMY.md (slug, name, name_ar, sort_order).
3. Migration seeds category.category_question_templates with every follow-up question listed in docs/AI/17_CATEGORY_TAXONOMY.md (question_text, question_text_ar, question_type, options, is_required, sort_order).
4. Seed data is idempotent -- running the migration's upgrade twice, or an upgrade/downgrade/upgrade cycle, never creates duplicate category or question-template rows.
5. A read-only service method (or endpoint, if warranted) exposes the seeded categories and their question templates so AI-001 can consume them once built.
6. provider_category_labels and DIR-001's existing search query are completely unmodified -- this story adds a new, independent domain without changing provider-facing category behavior.
7. Automated tests cover: migration upgrade/downgrade, seed data completeness (14 categories, correct per-category question counts), and idempotency.</t>
  </si>
  <si>
    <t xml:space="preserve">DIR-001, CTG-001</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</si>
</sst>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0.44999999999999996</v>
      </c>
      <c r="C7" s="6" t="n">
        <v>1</v>
      </c>
      <c r="D7" s="5" t="str">
        <f aca="false">IF(B7=1,"✅ Completed","🔄 In Progress")</f>
        <v>🔄 In Progress</v>
      </c>
      <c r="F7" s="0" t="s">
        <v>17</v>
      </c>
      <c r="G7" s="0" t="s">
        <v>18</v>
      </c>
      <c r="I7" s="0" t="s">
        <v>19</v>
      </c>
      <c r="J7" s="0" t="n">
        <v>28</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78</v>
      </c>
      <c r="C9" s="5"/>
      <c r="D9" s="5"/>
      <c r="F9" s="0" t="str">
        <f aca="false">'Phase Tracker'!B3</f>
        <v>Feature Delivery (Vertical Slices)</v>
      </c>
      <c r="G9" s="7" t="n">
        <f aca="false">'Phase Tracker'!E3</f>
        <v>0.5384615384615384</v>
      </c>
      <c r="I9" s="0" t="s">
        <v>25</v>
      </c>
      <c r="J9" s="0" t="n">
        <v>0</v>
      </c>
    </row>
    <row r="10" customFormat="false" ht="18" hidden="false" customHeight="true" outlineLevel="0" collapsed="false">
      <c r="A10" s="5" t="s">
        <v>26</v>
      </c>
      <c r="B10" s="5" t="s">
        <v>195</v>
      </c>
      <c r="C10" s="5"/>
      <c r="D10" s="5"/>
      <c r="F10" s="0" t="str">
        <f aca="false">'Phase Tracker'!B4</f>
        <v>Production Readiness</v>
      </c>
      <c r="G10" s="7" t="n">
        <f aca="false">'Phase Tracker'!E4</f>
        <v>0</v>
      </c>
      <c r="I10" s="0" t="s">
        <v>28</v>
      </c>
      <c r="J10" s="0" t="n">
        <v>18</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5</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10</v>
      </c>
      <c r="C13" s="5" t="n">
        <f aca="false">COUNTA(Epics!$C$2:C$100)</f>
        <v>23</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30</v>
      </c>
      <c r="C14" s="5" t="n">
        <f aca="false">B15</f>
        <v>47</v>
      </c>
      <c r="D14" s="5" t="str">
        <f aca="false">IF(B14=C14,"✅ Completed","🔄 In Progress")</f>
        <v>🔄 In Progress</v>
      </c>
    </row>
    <row r="15" customFormat="false" ht="18" hidden="false" customHeight="true" outlineLevel="0" collapsed="false">
      <c r="A15" s="5" t="s">
        <v>33</v>
      </c>
      <c r="B15" s="5" t="n">
        <f aca="false">COUNTA(Stories!$A$2:A$200)</f>
        <v>47</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198</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0.37083333333333335</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0.5384615384615384</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1</v>
      </c>
      <c r="K6" s="12" t="str">
        <f aca="false">IF(COUNTIFS(Epics!$B$2:$B$100,B6,Epics!$K$2:$K$100,"*Blocked*")&gt;0,"🚫 Blocked",IF(J6=1,"✅ Completed",IF(J6&gt;0,"🔄 In Progress","⏳ Planned")))</f>
        <v>✅ Completed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0.5</v>
      </c>
      <c r="K7" s="12" t="str">
        <f aca="false">IF(COUNTIFS(Epics!$B$2:$B$100,B7,Epics!$K$2:$K$100,"*Blocked*")&gt;0,"🚫 Blocked",IF(J7=1,"✅ Completed",IF(J7&gt;0,"🔄 In Progress","⏳ Planned")))</f>
        <v>🔄 In Progress</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0.3333333333333333</v>
      </c>
      <c r="K8" s="12" t="str">
        <f aca="false">IF(COUNTIFS(Epics!$B$2:$B$100,B8,Epics!$K$2:$K$100,"*Blocked*")&gt;0,"🚫 Blocked",IF(J8=1,"✅ Completed",IF(J8&gt;0,"🔄 In Progress","⏳ Planned")))</f>
        <v>🔄 In Progress</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0</v>
      </c>
      <c r="K9" s="12" t="str">
        <f aca="false">IF(COUNTIFS(Epics!$B$2:$B$100,B9,Epics!$K$2:$K$100,"*Blocked*")&gt;0,"🚫 Blocked",IF(J9=1,"✅ Completed",IF(J9&gt;0,"🔄 In Progress","⏳ Planned")))</f>
        <v>⏳ Planned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0</v>
      </c>
      <c r="K10" s="12" t="str">
        <f aca="false">IF(COUNTIFS(Epics!$B$2:$B$100,B10,Epics!$K$2:$K$100,"*Blocked*")&gt;0,"🚫 Blocked",IF(J10=1,"✅ Completed",IF(J10&gt;0,"🔄 In Progress","⏳ Planned")))</f>
        <v>⏳ Planned</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0</v>
      </c>
      <c r="K11" s="12" t="str">
        <f aca="false">IF(COUNTIFS(Epics!$B$2:$B$100,B11,Epics!$K$2:$K$100,"*Blocked*")&gt;0,"🚫 Blocked",IF(J11=1,"✅ Completed",IF(J11&gt;0,"🔄 In Progress","⏳ Planned")))</f>
        <v>⏳ Planned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1</v>
      </c>
      <c r="K8" s="11" t="str">
        <f aca="false">IF(COUNTIFS(Stories!$C$2:$C$200,C8,Stories!$M$2:$M$200,"*Blocked*")&gt;0,"🚫 Blocked",IF(J8=1,"✅ Completed",IF(J8&gt;0,"🔄 In Progress","⏳ Planned")))</f>
        <v>✅ Completed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1</v>
      </c>
      <c r="K9" s="11" t="str">
        <f aca="false">IF(COUNTIFS(Stories!$C$2:$C$200,C9,Stories!$M$2:$M$200,"*Blocked*")&gt;0,"🚫 Blocked",IF(J9=1,"✅ Completed",IF(J9&gt;0,"🔄 In Progress","⏳ Planned")))</f>
        <v>✅ Completed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1</v>
      </c>
      <c r="K10" s="11" t="str">
        <f aca="false">IF(COUNTIFS(Stories!$C$2:$C$200,C10,Stories!$M$2:$M$200,"*Blocked*")&gt;0,"🚫 Blocked",IF(J10=1,"✅ Completed",IF(J10&gt;0,"🔄 In Progress","⏳ Planned")))</f>
        <v>✅ Completed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0</v>
      </c>
      <c r="K11" s="11" t="str">
        <f aca="false">IF(COUNTIFS(Stories!$C$2:$C$200,C11,Stories!$M$2:$M$200,"*Blocked*")&gt;0,"🚫 Blocked",IF(J11=1,"✅ Completed",IF(J11&gt;0,"🔄 In Progress","⏳ Planned")))</f>
        <v>⏳ Planned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0</v>
      </c>
      <c r="K12" s="11" t="str">
        <f aca="false">IF(COUNTIFS(Stories!$C$2:$C$200,C12,Stories!$M$2:$M$200,"*Blocked*")&gt;0,"🚫 Blocked",IF(J12=1,"✅ Completed",IF(J12&gt;0,"🔄 In Progress","⏳ Planned")))</f>
        <v>⏳ Planned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0</v>
      </c>
      <c r="K13" s="11" t="str">
        <f aca="false">IF(COUNTIFS(Stories!$C$2:$C$200,C13,Stories!$M$2:$M$200,"*Blocked*")&gt;0,"🚫 Blocked",IF(J13=1,"✅ Completed",IF(J13&gt;0,"🔄 In Progress","⏳ Planned")))</f>
        <v>⏳ Planned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0</v>
      </c>
      <c r="K14" s="11" t="str">
        <f aca="false">IF(COUNTIFS(Stories!$C$2:$C$200,C14,Stories!$M$2:$M$200,"*Blocked*")&gt;0,"🚫 Blocked",IF(J14=1,"✅ Completed",IF(J14&gt;0,"🔄 In Progress","⏳ Planned")))</f>
        <v>⏳ Planned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0</v>
      </c>
      <c r="K15" s="11" t="str">
        <f aca="false">IF(COUNTIFS(Stories!$C$2:$C$200,C15,Stories!$M$2:$M$200,"*Blocked*")&gt;0,"🚫 Blocked",IF(J15=1,"✅ Completed",IF(J15&gt;0,"🔄 In Progress","⏳ Planned")))</f>
        <v>⏳ Planned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0</v>
      </c>
      <c r="K16" s="11" t="str">
        <f aca="false">IF(COUNTIFS(Stories!$C$2:$C$200,C16,Stories!$M$2:$M$200,"*Blocked*")&gt;0,"🚫 Blocked",IF(J16=1,"✅ Completed",IF(J16&gt;0,"🔄 In Progress","⏳ Planned")))</f>
        <v>⏳ Planned</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0</v>
      </c>
      <c r="K17" s="11" t="str">
        <f aca="false">IF(COUNTIFS(Stories!$C$2:$C$200,C17,Stories!$M$2:$M$200,"*Blocked*")&gt;0,"🚫 Blocked",IF(J17=1,"✅ Completed",IF(J17&gt;0,"🔄 In Progress","⏳ Planned")))</f>
        <v>⏳ Planned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t="n">
        <v>23</v>
      </c>
      <c r="B24" s="10" t="s">
        <v>81</v>
      </c>
      <c r="C24" s="10" t="s">
        <v>478</v>
      </c>
      <c r="D24" s="10" t="s">
        <v>479</v>
      </c>
      <c r="E24" s="10" t="s">
        <v>480</v>
      </c>
      <c r="F24" s="10"/>
      <c r="G24" s="10"/>
      <c r="H24" s="10"/>
      <c r="I24" s="10"/>
      <c r="J24" s="11" t="n">
        <f aca="false">IFERROR(SUMPRODUCT((Stories!$C$2:$C$200=C24)*(Stories!$P$2:$P$200))/COUNTIF(Stories!$C$2:$C$200,C24),0)</f>
        <v>1</v>
      </c>
      <c r="K24" s="11" t="str">
        <f aca="false">IF(COUNTIFS(Stories!$C$2:$C$200,C24,Stories!$M$2:$M$200,"*Blocked*")&gt;0,"🚫 Blocked",IF(J24=1,"✅ Completed",IF(J24&gt;0,"🔄 In Progress","⏳ Planned")))</f>
        <v>✅ Completed</v>
      </c>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2</v>
      </c>
      <c r="I6" s="11" t="n">
        <f aca="false">IFERROR(H6/G6,0)</f>
        <v>1</v>
      </c>
      <c r="J6" s="11" t="str">
        <f aca="false">IF(COUNTIFS(Stories!$B$2:$B$200,A6,Stories!$M$2:$M$200,"*Blocked*")&gt;0,"🚫 Blocked",IF(I6=1,"✅ Completed",IF(I6&gt;0,"🔄 In Progress","⏳ Planned")))</f>
        <v>✅ Completed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1</v>
      </c>
      <c r="I7" s="11" t="n">
        <f aca="false">IFERROR(H7/G7,0)</f>
        <v>0.5</v>
      </c>
      <c r="J7" s="11" t="str">
        <f aca="false">IF(COUNTIFS(Stories!$B$2:$B$200,A7,Stories!$M$2:$M$200,"*Blocked*")&gt;0,"🚫 Blocked",IF(I7=1,"✅ Completed",IF(I7&gt;0,"🔄 In Progress","⏳ Planned")))</f>
        <v>🔄 In Progress</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3</v>
      </c>
      <c r="H8" s="10" t="n">
        <f aca="false">SUMPRODUCT((Stories!$B$2:$B$200=A8)*(Stories!$P$2:$P$200))</f>
        <v>1</v>
      </c>
      <c r="I8" s="11" t="n">
        <f aca="false">IFERROR(H8/G8,0)</f>
        <v>0.3333333333333333</v>
      </c>
      <c r="J8" s="11" t="str">
        <f aca="false">IF(COUNTIFS(Stories!$B$2:$B$200,A8,Stories!$M$2:$M$200,"*Blocked*")&gt;0,"🚫 Blocked",IF(I8=1,"✅ Completed",IF(I8&gt;0,"🔄 In Progress","⏳ Planned")))</f>
        <v>🔄 In Progress</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0</v>
      </c>
      <c r="I9" s="11" t="n">
        <f aca="false">IFERROR(H9/G9,0)</f>
        <v>0</v>
      </c>
      <c r="J9" s="11" t="str">
        <f aca="false">IF(COUNTIFS(Stories!$B$2:$B$200,A9,Stories!$M$2:$M$200,"*Blocked*")&gt;0,"🚫 Blocked",IF(I9=1,"✅ Completed",IF(I9&gt;0,"🔄 In Progress","⏳ Planned")))</f>
        <v>⏳ Planned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0</v>
      </c>
      <c r="I10" s="11" t="n">
        <f aca="false">IFERROR(H10/G10,0)</f>
        <v>0</v>
      </c>
      <c r="J10" s="11" t="str">
        <f aca="false">IF(COUNTIFS(Stories!$B$2:$B$200,A10,Stories!$M$2:$M$200,"*Blocked*")&gt;0,"🚫 Blocked",IF(I10=1,"✅ Completed",IF(I10&gt;0,"🔄 In Progress","⏳ Planned")))</f>
        <v>⏳ Planned</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0</v>
      </c>
      <c r="I11" s="11" t="n">
        <f aca="false">IFERROR(H11/G11,0)</f>
        <v>0</v>
      </c>
      <c r="J11" s="11" t="str">
        <f aca="false">IF(COUNTIFS(Stories!$B$2:$B$200,A11,Stories!$M$2:$M$200,"*Blocked*")&gt;0,"🚫 Blocked",IF(I11=1,"✅ Completed",IF(I11&gt;0,"🔄 In Progress","⏳ Planned")))</f>
        <v>⏳ Planned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19</v>
      </c>
      <c r="N28" s="10"/>
      <c r="O28" s="10" t="s">
        <v>318</v>
      </c>
      <c r="P28" s="10" t="n">
        <f aca="false">IF(ISNUMBER(SEARCH("Done",M28)),1,IF(ISNUMBER(SEARCH("In Progress",M28)),0.5,0))</f>
        <v>1</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19</v>
      </c>
      <c r="N29" s="10"/>
      <c r="O29" s="10" t="s">
        <v>327</v>
      </c>
      <c r="P29" s="10" t="n">
        <f aca="false">IF(ISNUMBER(SEARCH("Done",M29)),1,IF(ISNUMBER(SEARCH("In Progress",M29)),0.5,0))</f>
        <v>1</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19</v>
      </c>
      <c r="N30" s="10"/>
      <c r="O30" s="10" t="s">
        <v>339</v>
      </c>
      <c r="P30" s="10" t="n">
        <f aca="false">IF(ISNUMBER(SEARCH("Done",M30)),1,IF(ISNUMBER(SEARCH("In Progress",M30)),0.5,0))</f>
        <v>1</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296</v>
      </c>
      <c r="N31" s="10"/>
      <c r="O31" s="10" t="s">
        <v>344</v>
      </c>
      <c r="P31" s="10" t="n">
        <f aca="false">IF(ISNUMBER(SEARCH("Done",M31)),1,IF(ISNUMBER(SEARCH("In Progress",M31)),0.5,0))</f>
        <v>0</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296</v>
      </c>
      <c r="N32" s="10"/>
      <c r="O32" s="10" t="s">
        <v>484</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296</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296</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296</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296</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296</v>
      </c>
      <c r="N37" s="10"/>
      <c r="O37" s="10" t="s">
        <v>361</v>
      </c>
      <c r="P37" s="10" t="n">
        <f aca="false">IF(ISNUMBER(SEARCH("Done",M37)),1,IF(ISNUMBER(SEARCH("In Progress",M37)),0.5,0))</f>
        <v>0</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296</v>
      </c>
      <c r="N38" s="10"/>
      <c r="O38" s="10" t="s">
        <v>357</v>
      </c>
      <c r="P38" s="10" t="n">
        <f aca="false">IF(ISNUMBER(SEARCH("Done",M38)),1,IF(ISNUMBER(SEARCH("In Progress",M38)),0.5,0))</f>
        <v>0</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296</v>
      </c>
      <c r="N39" s="10"/>
      <c r="O39" s="10" t="s">
        <v>369</v>
      </c>
      <c r="P39" s="10" t="n">
        <f aca="false">IF(ISNUMBER(SEARCH("Done",M39)),1,IF(ISNUMBER(SEARCH("In Progress",M39)),0.5,0))</f>
        <v>0</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t="s">
        <v>477</v>
      </c>
      <c r="B48" s="10" t="s">
        <v>198</v>
      </c>
      <c r="C48" s="10" t="s">
        <v>478</v>
      </c>
      <c r="D48" s="10" t="s">
        <v>81</v>
      </c>
      <c r="E48" s="10" t="s">
        <v>21</v>
      </c>
      <c r="F48" s="10" t="s">
        <v>481</v>
      </c>
      <c r="G48" s="10" t="s">
        <v>482</v>
      </c>
      <c r="H48" s="10" t="s">
        <v>483</v>
      </c>
      <c r="I48" s="10" t="s">
        <v>295</v>
      </c>
      <c r="J48" s="10"/>
      <c r="K48" s="10"/>
      <c r="L48" s="10"/>
      <c r="M48" s="10" t="s">
        <v>19</v>
      </c>
      <c r="N48" s="10"/>
      <c r="O48" s="10"/>
      <c r="P48" s="10" t="n">
        <f aca="false">IF(ISNUMBER(SEARCH("Done",M48)),1,IF(ISNUMBER(SEARCH("In Progress",M48)),0.5,0))</f>
        <v>1</v>
      </c>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