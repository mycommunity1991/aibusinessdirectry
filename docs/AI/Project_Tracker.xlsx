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<sst xmlns="http://schemas.openxmlformats.org/spreadsheetml/2006/main" count="1040" uniqueCount="485">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</sst>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0.464</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81</v>
      </c>
      <c r="C9" s="5"/>
      <c r="D9" s="5"/>
      <c r="F9" s="0" t="str">
        <f aca="false">'Phase Tracker'!B3</f>
        <v>Feature Delivery (Vertical Slices)</v>
      </c>
      <c r="G9" s="7" t="n">
        <f aca="false">'Phase Tracker'!E3</f>
        <v>0.56</v>
      </c>
      <c r="I9" s="0" t="s">
        <v>25</v>
      </c>
      <c r="J9" s="0" t="n">
        <v>0</v>
      </c>
    </row>
    <row r="10" customFormat="false" ht="18" hidden="false" customHeight="true" outlineLevel="0" collapsed="false">
      <c r="A10" s="5" t="s">
        <v>26</v>
      </c>
      <c r="B10" s="5" t="s">
        <v>198</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6</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12</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32</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201</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0.464</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0.56</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0.6666666666666666</v>
      </c>
      <c r="K8" s="12" t="str">
        <f aca="false">IF(COUNTIFS(Epics!$B$2:$B$100,B8,Epics!$K$2:$K$100,"*Blocked*")&gt;0,"🚫 Blocked",IF(J8=1,"✅ Completed",IF(J8&gt;0,"🔄 In Progress","⏳ Planned")))</f>
        <v>🔄 In Progress</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2</v>
      </c>
      <c r="I8" s="11" t="n">
        <f aca="false">IFERROR(H8/G8,0)</f>
        <v>0.6666666666666666</v>
      </c>
      <c r="J8" s="11" t="str">
        <f aca="false">IF(COUNTIFS(Stories!$B$2:$B$200,A8,Stories!$M$2:$M$200,"*Blocked*")&gt;0,"🚫 Blocked",IF(I8=1,"✅ Completed",IF(I8&gt;0,"🔄 In Progress","⏳ Planned")))</f>
        <v>🔄 In Progress</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