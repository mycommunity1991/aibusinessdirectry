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<sst xmlns="http://schemas.openxmlformats.org/spreadsheetml/2006/main" count="1040" uniqueCount="485">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</sst>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0.62</v>
      </c>
      <c r="C7" s="6" t="n">
        <v>1</v>
      </c>
      <c r="D7" s="5" t="str">
        <f aca="false">IF(B7=1,"✅ Completed","🔄 In Progress")</f>
        <v>🔄 In Progress</v>
      </c>
      <c r="F7" s="0" t="s">
        <v>17</v>
      </c>
      <c r="G7" s="0" t="s">
        <v>18</v>
      </c>
      <c r="I7" s="0" t="s">
        <v>19</v>
      </c>
      <c r="J7" s="0" t="n">
        <v>38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9</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9</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16</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38</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0.8</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0.5</v>
      </c>
      <c r="K11" s="12" t="str">
        <f aca="false">IF(COUNTIFS(Epics!$B$2:$B$100,B11,Epics!$K$2:$K$100,"*Blocked*")&gt;0,"🚫 Blocked",IF(J11=1,"✅ Completed",IF(J11&gt;0,"🔄 In Progress","⏳ Planned")))</f>
        <v>🔄 In Progress</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0.5</v>
      </c>
      <c r="K17" s="11" t="str">
        <f aca="false">IF(COUNTIFS(Stories!$C$2:$C$200,C17,Stories!$M$2:$M$200,"*Blocked*")&gt;0,"🚫 Blocked",IF(J17=1,"✅ Completed",IF(J17&gt;0,"🔄 In Progress","⏳ Planned")))</f>
        <v>🔄 In Progress</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1</v>
      </c>
      <c r="I11" s="11" t="n">
        <f aca="false">IFERROR(H11/G11,0)</f>
        <v>0.5</v>
      </c>
      <c r="J11" s="11" t="str">
        <f aca="false">IF(COUNTIFS(Stories!$B$2:$B$200,A11,Stories!$M$2:$M$200,"*Blocked*")&gt;0,"🚫 Blocked",IF(I11=1,"✅ Completed",IF(I11&gt;0,"🔄 In Progress","⏳ Planned")))</f>
        <v>🔄 In Progress</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