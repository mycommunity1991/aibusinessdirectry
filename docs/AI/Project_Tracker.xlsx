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hidden"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<sst xmlns="http://schemas.openxmlformats.org/spreadsheetml/2006/main" count="1589" uniqueCount="819">
  <si>
    <t xml:space="preserve">AI Marketplace — Project Dashboard</t>
  </si>
  <si>
    <t xml:space="preserve">Live rollup from Phase Tracker, Milestones, Epics, Sprints, Stories, Releases &amp; Risks. Nothing here needs manual updating.</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</si>
  <si>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</si>
  <si>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</si>
  <si>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</si>
  <si>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</si>
  <si>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</si>
  <si>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</si>
  <si>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</si>
  <si>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</si>
  <si>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</si>
  <si>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</si>
  <si>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</si>
  <si>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</si>
  <si>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</si>
  <si>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</si>
  <si>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</si>
  <si>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</si>
  <si>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</si>
  <si>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</si>
  <si>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</si>
  <si>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 In Progress</t>
  </si>
  <si>
    <t xml:space="preserve">Current Milestone</t>
  </si>
  <si>
    <t xml:space="preserve">🚫 Blocked</t>
  </si>
  <si>
    <t xml:space="preserve">Current Sprint</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</si>
  <si>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</si>
  <si>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</si>
  <si>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</si>
  <si>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</si>
  <si>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</si>
  <si>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</si>
  <si>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</si>
  <si>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</si>
  <si>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</si>
  <si>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</si>
  <si>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</si>
  <si>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</si>
  <si>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</si>
  <si>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</si>
  <si>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</si>
  <si>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</si>
  <si>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</si>
  <si>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</si>
  <si>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backend foundation, development standards, tooling, testing framework, documentation, and shared infrastructure.</t>
  </si>
  <si>
    <t xml:space="preserve">✅ Completed</t>
  </si>
  <si>
    <t xml:space="preserve">PH2</t>
  </si>
  <si>
    <t xml:space="preserve">Feature Delivery (Vertical Slices)</t>
  </si>
  <si>
    <t xml:space="preserve">Deliver every customer- and provider-facing capability as a complete vertical slice: data model, backend API, third-party integration (OAuth, OTP/SMS, LLM, media), Flutter UI, and tests -- so each sprint ships something usable end to end.</t>
  </si>
  <si>
    <t xml:space="preserve">⏳ Planned</t>
  </si>
  <si>
    <t xml:space="preserve">PH3</t>
  </si>
  <si>
    <t xml:space="preserve">Production Readiness</t>
  </si>
  <si>
    <t xml:space="preserve">Complete performance optimization, security hardening, DevOps, monitoring, testing, deployment automation, and operational readiness.</t>
  </si>
  <si>
    <t xml:space="preserve">PH4</t>
  </si>
  <si>
    <t xml:space="preserve">MVP Release</t>
  </si>
  <si>
    <t xml:space="preserve">Complete final validation, production deployment, documentation, and official MVP release.</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</si>
  <si>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</si>
  <si>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</si>
  <si>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</si>
  <si>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</si>
  <si>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</si>
  <si>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</si>
  <si>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</si>
  <si>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</si>
  <si>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</si>
  <si>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</si>
  <si>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backend platform, engineering standards, tooling, testing, documentation, and shared infrastructure.</t>
  </si>
  <si>
    <t xml:space="preserve">Shri</t>
  </si>
  <si>
    <t xml:space="preserve">ML2</t>
  </si>
  <si>
    <t xml:space="preserve">Identity &amp; Access</t>
  </si>
  <si>
    <t xml:space="preserve">Implement secure registration (Mobile OTP, Google, Apple), authentication, authorization, and session management for Customer and Provider accounts.</t>
  </si>
  <si>
    <t xml:space="preserve">ML3</t>
  </si>
  <si>
    <t xml:space="preserve">Flutter Application Foundation</t>
  </si>
  <si>
    <t xml:space="preserve">Establish Flutter architecture (Riverpod, GoRouter, feature-first structure), Material 3 theming from DESIGN.md, localization (English/Arabic, RTL), and shared UI components.</t>
  </si>
  <si>
    <t xml:space="preserve">ML4</t>
  </si>
  <si>
    <t xml:space="preserve">Flutter Auth &amp; Onboarding Experience</t>
  </si>
  <si>
    <t xml:space="preserve">Implement the splash, language selection, sign-in/sign-up, and mobile OTP screens in the mobile application.</t>
  </si>
  <si>
    <t xml:space="preserve">ML5</t>
  </si>
  <si>
    <t xml:space="preserve">Customer Domain</t>
  </si>
  <si>
    <t xml:space="preserve">Build customer profiles, saved addresses, and notification/language preferences, including the auto-provisioning trigger on registration.</t>
  </si>
  <si>
    <t xml:space="preserve">ML6</t>
  </si>
  <si>
    <t xml:space="preserve">Category &amp; Taxonomy</t>
  </si>
  <si>
    <t xml:space="preserve">Establish the service category taxonomy and AI follow-up question templates that structure both provider listings and search, resolving the category-taxonomy open decision.</t>
  </si>
  <si>
    <t xml:space="preserve">ML7</t>
  </si>
  <si>
    <t xml:space="preserve">Provider Domain &amp; Onboarding Experience</t>
  </si>
  <si>
    <t xml:space="preserve">Build the Provider aggregate with Business and Freelancer subtype profiles, availability, portfolio, categories, and service areas, plus the onboarding screens.</t>
  </si>
  <si>
    <t xml:space="preserve">ML8</t>
  </si>
  <si>
    <t xml:space="preserve">Verification Domain</t>
  </si>
  <si>
    <t xml:space="preserve">Implement provider verification records, document upload, OCR-assisted review, and the mandatory Freelancer / configurable Business trust gate.</t>
  </si>
  <si>
    <t xml:space="preserve">ML9</t>
  </si>
  <si>
    <t xml:space="preserve">Geospatial Matching Infrastructure</t>
  </si>
  <si>
    <t xml:space="preserve">Implement proximity/service-area query infrastructure (PostgreSQL earthdistance/cube) backing all location-based provider matching.</t>
  </si>
  <si>
    <t xml:space="preserve">ML10</t>
  </si>
  <si>
    <t xml:space="preserve">Provider Claim Flow</t>
  </si>
  <si>
    <t xml:space="preserve">Bootstrap Business supply from Google-seeded unclaimed listings and implement the claim-your-listing verification flow.</t>
  </si>
  <si>
    <t xml:space="preserve">ML11</t>
  </si>
  <si>
    <t xml:space="preserve">Basic Directory &amp; Location/Category Search</t>
  </si>
  <si>
    <t xml:space="preserve">Deliver structured, non-AI location/category provider search, proving core discovery end to end with zero verification/contact dependency.</t>
  </si>
  <si>
    <t xml:space="preserve">ML12</t>
  </si>
  <si>
    <t xml:space="preserve">Conversation / AI Intake</t>
  </si>
  <si>
    <t xml:space="preserve">Implement the LLM-API-driven, RAG-grounded conversational intake that turns an unstructured customer request into a structured Search Request.</t>
  </si>
  <si>
    <t xml:space="preserve">ML13</t>
  </si>
  <si>
    <t xml:space="preserve">Search Request &amp; Matching</t>
  </si>
  <si>
    <t xml:space="preserve">Implement ranked provider matching, the Search Event Log, and Wizard-of-Oz manual-match fallback for low-confidence sessions.</t>
  </si>
  <si>
    <t xml:space="preserve">ML14</t>
  </si>
  <si>
    <t xml:space="preserve">Contact View</t>
  </si>
  <si>
    <t xml:space="preserve">Implement the direct Contact View flow -- phone number shown immediately on match -- including the self-dealing guard for dual-role accounts.</t>
  </si>
  <si>
    <t xml:space="preserve">ML15</t>
  </si>
  <si>
    <t xml:space="preserve">Notification Domain</t>
  </si>
  <si>
    <t xml:space="preserve">Implement notifications, per-user preferences, and WhatsApp/SMS/Email delivery adapters.</t>
  </si>
  <si>
    <t xml:space="preserve">ML16</t>
  </si>
  <si>
    <t xml:space="preserve">Outcome Tag &amp; Review Domain</t>
  </si>
  <si>
    <t xml:space="preserve">Implement the 'Did you hire them?' Outcome Tag and anchor-verified Reviews driving merit-based provider ranking.</t>
  </si>
  <si>
    <t xml:space="preserve">ML17</t>
  </si>
  <si>
    <t xml:space="preserve">Flutter Customer Experience</t>
  </si>
  <si>
    <t xml:space="preserve">Consolidate the Customer-facing mobile experience: My Activity, Notifications Inbox, and Profile &amp; Settings screens.</t>
  </si>
  <si>
    <t xml:space="preserve">ML18</t>
  </si>
  <si>
    <t xml:space="preserve">Flutter Provider Experience</t>
  </si>
  <si>
    <t xml:space="preserve">Consolidate the Provider-facing mobile experience: Dashboard, Leads, Storefront, and Visibility Analytics screens.</t>
  </si>
  <si>
    <t xml:space="preserve">ML19</t>
  </si>
  <si>
    <t xml:space="preserve">Admin Dashboard &amp; Value-Layer Polish</t>
  </si>
  <si>
    <t xml:space="preserve">Deliver the admin verification/matching dashboard, provider visibility analytics wiring, Verified Visit OTP, and shareable profile deep links.</t>
  </si>
  <si>
    <t xml:space="preserve">ML20</t>
  </si>
  <si>
    <t xml:space="preserve">Performance Optimization</t>
  </si>
  <si>
    <t xml:space="preserve">Optimize database queries, caching, API performance, mobile responsiveness, and scalability.</t>
  </si>
  <si>
    <t xml:space="preserve">ML21</t>
  </si>
  <si>
    <t xml:space="preserve">Security Hardening</t>
  </si>
  <si>
    <t xml:space="preserve">Complete security validation, penetration readiness, compliance checks, rate limiting, and security enhancements.</t>
  </si>
  <si>
    <t xml:space="preserve">ML22</t>
  </si>
  <si>
    <t xml:space="preserve">DevOps &amp; Deployment</t>
  </si>
  <si>
    <t xml:space="preserve">Finalize CI/CD, infrastructure configuration, monitoring, backups, environment management, and deployment automation.</t>
  </si>
  <si>
    <t xml:space="preserve">ML23</t>
  </si>
  <si>
    <t xml:space="preserve">Quality Assurance &amp; Release Readiness</t>
  </si>
  <si>
    <t xml:space="preserve">Complete end-to-end testing, UAT, bug fixing, documentation review, and production validation.</t>
  </si>
  <si>
    <t xml:space="preserve">ML24</t>
  </si>
  <si>
    <t xml:space="preserve">MVP Release v1.0</t>
  </si>
  <si>
    <t xml:space="preserve">Deliver the first production-ready release of AI Marketplace with all approved MVP functionality deployed and documented.</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</si>
  <si>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</si>
  <si>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</si>
  <si>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</si>
  <si>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</si>
  <si>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</si>
  <si>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</si>
  <si>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Registration &amp; Login</t>
  </si>
  <si>
    <t xml:space="preserve">Mobile OTP and Google/Apple OAuth registration and login.</t>
  </si>
  <si>
    <t xml:space="preserve">ML2-EP02</t>
  </si>
  <si>
    <t xml:space="preserve">Session &amp; Token Management</t>
  </si>
  <si>
    <t xml:space="preserve">JWT access/refresh token issuance, rotation, and device/session management.</t>
  </si>
  <si>
    <t xml:space="preserve">ML2-EP03</t>
  </si>
  <si>
    <t xml:space="preserve">Authorization</t>
  </si>
  <si>
    <t xml:space="preserve">Role-based access control foundation (require_role, ownership checks).</t>
  </si>
  <si>
    <t xml:space="preserve">ML2-EP04</t>
  </si>
  <si>
    <t xml:space="preserve">Auth Hardening &amp; Audit</t>
  </si>
  <si>
    <t xml:space="preserve">Rate limiting, brute-force protection, and audit logging for auth events.</t>
  </si>
  <si>
    <t xml:space="preserve">ML3-EP01</t>
  </si>
  <si>
    <t xml:space="preserve">Flutter Architecture &amp; Design System</t>
  </si>
  <si>
    <t xml:space="preserve">Project structure, Riverpod/GoRouter, Material 3 theming from DESIGN.md, localization, shared widgets.</t>
  </si>
  <si>
    <t xml:space="preserve">ML4-EP01</t>
  </si>
  <si>
    <t xml:space="preserve">Onboarding Screens</t>
  </si>
  <si>
    <t xml:space="preserve">Splash, language selection, sign-in/sign-up, and mobile OTP screens.</t>
  </si>
  <si>
    <t xml:space="preserve">ML5-EP01</t>
  </si>
  <si>
    <t xml:space="preserve">Customer Profile &amp; Addresses</t>
  </si>
  <si>
    <t xml:space="preserve">Customer profile, saved addresses, and preferences -- backend and screens.</t>
  </si>
  <si>
    <t xml:space="preserve">ML6-EP01</t>
  </si>
  <si>
    <t xml:space="preserve">Category Data &amp; Admin API</t>
  </si>
  <si>
    <t xml:space="preserve">Category taxonomy, question templates, seed data, and admin CRUD API.</t>
  </si>
  <si>
    <t xml:space="preserve">ML7-EP01</t>
  </si>
  <si>
    <t xml:space="preserve">Provider Backend</t>
  </si>
  <si>
    <t xml:space="preserve">Provider aggregate, Business/Freelancer subtype profiles, availability, portfolio, service areas.</t>
  </si>
  <si>
    <t xml:space="preserve">ML7-EP02</t>
  </si>
  <si>
    <t xml:space="preserve">Provider Onboarding UI</t>
  </si>
  <si>
    <t xml:space="preserve">Provider type selection, basic info, and business/freelancer detail screens.</t>
  </si>
  <si>
    <t xml:space="preserve">ML8-EP01</t>
  </si>
  <si>
    <t xml:space="preserve">Verification Backend &amp; OCR</t>
  </si>
  <si>
    <t xml:space="preserve">Verification records/documents, OCR-assisted review, discoverability gating.</t>
  </si>
  <si>
    <t xml:space="preserve">ML8-EP02</t>
  </si>
  <si>
    <t xml:space="preserve">Verification UI</t>
  </si>
  <si>
    <t xml:space="preserve">Document upload and verification status screens.</t>
  </si>
  <si>
    <t xml:space="preserve">ML9-EP01</t>
  </si>
  <si>
    <t xml:space="preserve">Proximity Infrastructure</t>
  </si>
  <si>
    <t xml:space="preserve">earthdistance/cube extensions, GiST indexes, proximity query service.</t>
  </si>
  <si>
    <t xml:space="preserve">ML10-EP01</t>
  </si>
  <si>
    <t xml:space="preserve">Claim Flow</t>
  </si>
  <si>
    <t xml:space="preserve">Google Places import, claim-listing OTP flow, and claim screens.</t>
  </si>
  <si>
    <t xml:space="preserve">ML11-EP01</t>
  </si>
  <si>
    <t xml:space="preserve">Structured Search</t>
  </si>
  <si>
    <t xml:space="preserve">Non-AI location/category filtered search API and results screen.</t>
  </si>
  <si>
    <t xml:space="preserve">ML12-EP01</t>
  </si>
  <si>
    <t xml:space="preserve">LLM &amp; RAG Grounding</t>
  </si>
  <si>
    <t xml:space="preserve">LLM provider adapter, system prompt management, RAG-grounded category resolution.</t>
  </si>
  <si>
    <t xml:space="preserve">ML12-EP02</t>
  </si>
  <si>
    <t xml:space="preserve">Session &amp; Confidence Scoring</t>
  </si>
  <si>
    <t xml:space="preserve">Conversation session/message/confidence models, Wizard-of-Oz routing.</t>
  </si>
  <si>
    <t xml:space="preserve">ML12-EP03</t>
  </si>
  <si>
    <t xml:space="preserve">AI Conversation UI</t>
  </si>
  <si>
    <t xml:space="preserve">The AI intake chat screen.</t>
  </si>
  <si>
    <t xml:space="preserve">ML13-EP01</t>
  </si>
  <si>
    <t xml:space="preserve">Matching Backend</t>
  </si>
  <si>
    <t xml:space="preserve">Search request, provider matching/ranking, search event log, manual match assignment.</t>
  </si>
  <si>
    <t xml:space="preserve">ML13-EP02</t>
  </si>
  <si>
    <t xml:space="preserve">Search UI</t>
  </si>
  <si>
    <t xml:space="preserve">AI-powered search results screen and Home entry wiring.</t>
  </si>
  <si>
    <t xml:space="preserve">ML14-EP01</t>
  </si>
  <si>
    <t xml:space="preserve">Contact view creation with self-dealing guard, provider profile and contact reveal screens.</t>
  </si>
  <si>
    <t xml:space="preserve">ML15-EP01</t>
  </si>
  <si>
    <t xml:space="preserve">Notification Backend</t>
  </si>
  <si>
    <t xml:space="preserve">Notification models, WhatsApp/SMS/Email delivery adapters, trigger wiring.</t>
  </si>
  <si>
    <t xml:space="preserve">ML16-EP01</t>
  </si>
  <si>
    <t xml:space="preserve">Outcome &amp; Review Backend</t>
  </si>
  <si>
    <t xml:space="preserve">Outcome tag, anchor-verified reviews, rating summary recalculation.</t>
  </si>
  <si>
    <t xml:space="preserve">ML16-EP02</t>
  </si>
  <si>
    <t xml:space="preserve">Outcome &amp; Review UI</t>
  </si>
  <si>
    <t xml:space="preserve">Outcome tag prompt and write-a-review screens.</t>
  </si>
  <si>
    <t xml:space="preserve">ML17-EP01</t>
  </si>
  <si>
    <t xml:space="preserve">Customer Experience Consolidation</t>
  </si>
  <si>
    <t xml:space="preserve">My Activity, Notifications Inbox, and Profile &amp; Settings screens.</t>
  </si>
  <si>
    <t xml:space="preserve">ML18-EP01</t>
  </si>
  <si>
    <t xml:space="preserve">Provider Experience Consolidation</t>
  </si>
  <si>
    <t xml:space="preserve">Dashboard, Leads, Storefront, and Visibility Analytics screens.</t>
  </si>
  <si>
    <t xml:space="preserve">ML19-EP01</t>
  </si>
  <si>
    <t xml:space="preserve">Admin Dashboard</t>
  </si>
  <si>
    <t xml:space="preserve">Verification review queue, manual match assignment queue, unmatched-query reports.</t>
  </si>
  <si>
    <t xml:space="preserve">ML19-EP02</t>
  </si>
  <si>
    <t xml:space="preserve">Value-Layer Polish</t>
  </si>
  <si>
    <t xml:space="preserve">Verified Visit OTP and shareable provider profile deep links.</t>
  </si>
  <si>
    <t xml:space="preserve">ML20-EP01</t>
  </si>
  <si>
    <t xml:space="preserve">Improve API, database and application performance.</t>
  </si>
  <si>
    <t xml:space="preserve">ML20-EP02</t>
  </si>
  <si>
    <t xml:space="preserve">Scalability &amp; Caching</t>
  </si>
  <si>
    <t xml:space="preserve">Implement caching strategies and scalability improvements for backend and mobile.</t>
  </si>
  <si>
    <t xml:space="preserve">ML21-EP01</t>
  </si>
  <si>
    <t xml:space="preserve">Security Validation</t>
  </si>
  <si>
    <t xml:space="preserve">Complete security testing, validation and compliance checks.</t>
  </si>
  <si>
    <t xml:space="preserve">ML21-EP02</t>
  </si>
  <si>
    <t xml:space="preserve">Security Enhancements</t>
  </si>
  <si>
    <t xml:space="preserve">Implement rate limiting and additional security hardening measures.</t>
  </si>
  <si>
    <t xml:space="preserve">ML22-EP01</t>
  </si>
  <si>
    <t xml:space="preserve">CI/CD Pipeline</t>
  </si>
  <si>
    <t xml:space="preserve">Finalize continuous integration and deployment pipelines.</t>
  </si>
  <si>
    <t xml:space="preserve">ML22-EP02</t>
  </si>
  <si>
    <t xml:space="preserve">Infrastructure &amp; Monitoring</t>
  </si>
  <si>
    <t xml:space="preserve">Configure infrastructure, monitoring, backups and environment management.</t>
  </si>
  <si>
    <t xml:space="preserve">ML23-EP01</t>
  </si>
  <si>
    <t xml:space="preserve">End-to-End Testing &amp; UAT</t>
  </si>
  <si>
    <t xml:space="preserve">Complete end-to-end testing and user acceptance testing.</t>
  </si>
  <si>
    <t xml:space="preserve">ML23-EP02</t>
  </si>
  <si>
    <t xml:space="preserve">Release Documentation &amp; Validation</t>
  </si>
  <si>
    <t xml:space="preserve">Complete documentation review and production validation.</t>
  </si>
  <si>
    <t xml:space="preserve">ML24-EP01</t>
  </si>
  <si>
    <t xml:space="preserve">MVP Release Deployment</t>
  </si>
  <si>
    <t xml:space="preserve">Deploy and finalize the first production-ready MVP release.</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</si>
  <si>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</si>
  <si>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</si>
  <si>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</si>
  <si>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</si>
  <si>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</si>
  <si>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</si>
  <si>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</si>
  <si>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</si>
  <si>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</si>
  <si>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</si>
  <si>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</si>
  <si>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</si>
  <si>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SP02</t>
  </si>
  <si>
    <t xml:space="preserve">Sprint 2</t>
  </si>
  <si>
    <t xml:space="preserve">Deliver mobile OTP and Google/Apple OAuth registration/login, JWT session management, RBAC, and auth hardening -- backend only, no Customer/Provider profile creation yet.</t>
  </si>
  <si>
    <t xml:space="preserve">SP03</t>
  </si>
  <si>
    <t xml:space="preserve">Sprint 3</t>
  </si>
  <si>
    <t xml:space="preserve">Establish the Flutter project architecture, Material 3 theming from DESIGN.md, EN/AR localization with RTL support, and shared UI components that every later screen builds on.</t>
  </si>
  <si>
    <t xml:space="preserve">SP04</t>
  </si>
  <si>
    <t xml:space="preserve">Sprint 4</t>
  </si>
  <si>
    <t xml:space="preserve">Implement the splash, language selection, sign-in/sign-up, and mobile OTP screens against Sprint 2's backend.</t>
  </si>
  <si>
    <t xml:space="preserve">SP05</t>
  </si>
  <si>
    <t xml:space="preserve">Sprint 5</t>
  </si>
  <si>
    <t xml:space="preserve">Deliver customer profile, saved addresses, and preferences end to end, including the auto-provisioning trigger on registration.</t>
  </si>
  <si>
    <t xml:space="preserve">SP06</t>
  </si>
  <si>
    <t xml:space="preserve">Sprint 6</t>
  </si>
  <si>
    <t xml:space="preserve">Lock the initial category taxonomy and AI follow-up question templates, resolving the critical-path category-taxonomy open decision.</t>
  </si>
  <si>
    <t xml:space="preserve">SP07</t>
  </si>
  <si>
    <t xml:space="preserve">Sprint 7</t>
  </si>
  <si>
    <t xml:space="preserve">Deliver the Provider aggregate (Business/Freelancer subtypes, availability, portfolio, service areas) and the onboarding screens end to end.</t>
  </si>
  <si>
    <t xml:space="preserve">SP08</t>
  </si>
  <si>
    <t xml:space="preserve">Sprint 8</t>
  </si>
  <si>
    <t xml:space="preserve">Deliver provider verification records, document upload with OCR-assisted review, and the mandatory Freelancer / configurable Business trust gate, with screens.</t>
  </si>
  <si>
    <t xml:space="preserve">SP09</t>
  </si>
  <si>
    <t xml:space="preserve">Sprint 9</t>
  </si>
  <si>
    <t xml:space="preserve">Enable PostgreSQL earthdistance/cube and build the proximity query service backing all location-based matching.</t>
  </si>
  <si>
    <t xml:space="preserve">SP10</t>
  </si>
  <si>
    <t xml:space="preserve">Sprint 10</t>
  </si>
  <si>
    <t xml:space="preserve">Bootstrap Business supply from Google-seeded unclaimed listings and deliver the claim-your-listing flow end to end.</t>
  </si>
  <si>
    <t xml:space="preserve">SP11</t>
  </si>
  <si>
    <t xml:space="preserve">Sprint 11</t>
  </si>
  <si>
    <t xml:space="preserve">Deliver structured, non-AI location/category search end to end, proving core discovery with zero verification/contact dependency.</t>
  </si>
  <si>
    <t xml:space="preserve">SP12</t>
  </si>
  <si>
    <t xml:space="preserve">Sprint 12</t>
  </si>
  <si>
    <t xml:space="preserve">Deliver the LLM-API-driven, RAG-grounded conversational intake end to end, including the AI Conversation screen.</t>
  </si>
  <si>
    <t xml:space="preserve">SP13</t>
  </si>
  <si>
    <t xml:space="preserve">Sprint 13</t>
  </si>
  <si>
    <t xml:space="preserve">Deliver ranked provider matching, the Search Event Log, and Wizard-of-Oz manual-match fallback, upgrading Search Results to AI-powered mode.</t>
  </si>
  <si>
    <t xml:space="preserve">SP14</t>
  </si>
  <si>
    <t xml:space="preserve">Sprint 14</t>
  </si>
  <si>
    <t xml:space="preserve">Deliver the direct Contact View flow with the self-dealing guard, completing the core search-to-contact loop.</t>
  </si>
  <si>
    <t xml:space="preserve">SP15</t>
  </si>
  <si>
    <t xml:space="preserve">Sprint 15</t>
  </si>
  <si>
    <t xml:space="preserve">Deliver notifications, per-user preferences, and WhatsApp/SMS/Email delivery adapters.</t>
  </si>
  <si>
    <t xml:space="preserve">SP16</t>
  </si>
  <si>
    <t xml:space="preserve">Sprint 16</t>
  </si>
  <si>
    <t xml:space="preserve">Deliver the 'Did you hire them?' Outcome Tag and anchor-verified Reviews driving merit-based provider ranking, with screens.</t>
  </si>
  <si>
    <t xml:space="preserve">SP17</t>
  </si>
  <si>
    <t xml:space="preserve">Sprint 17</t>
  </si>
  <si>
    <t xml:space="preserve">Flutter Customer Experience Consolidation</t>
  </si>
  <si>
    <t xml:space="preserve">Deliver My Activity, Notifications Inbox, and the finalized Profile &amp; Settings screen, including the dual-role entry point.</t>
  </si>
  <si>
    <t xml:space="preserve">SP18</t>
  </si>
  <si>
    <t xml:space="preserve">Sprint 18</t>
  </si>
  <si>
    <t xml:space="preserve">Flutter Provider Experience Consolidation</t>
  </si>
  <si>
    <t xml:space="preserve">Deliver Provider Dashboard, Leads, Storefront, and Visibility Analytics screens.</t>
  </si>
  <si>
    <t xml:space="preserve">SP19</t>
  </si>
  <si>
    <t xml:space="preserve">Sprint 19</t>
  </si>
  <si>
    <t xml:space="preserve">Deliver the admin verification/matching dashboard, Verified Visit OTP, and shareable provider profile deep links.</t>
  </si>
  <si>
    <t xml:space="preserve">SP20</t>
  </si>
  <si>
    <t xml:space="preserve">Sprint 20</t>
  </si>
  <si>
    <t xml:space="preserve">Performance Optimization &amp; Scalability</t>
  </si>
  <si>
    <t xml:space="preserve">Optimize database queries, caching, API performance and mobile responsiveness across the completed feature set.</t>
  </si>
  <si>
    <t xml:space="preserve">SP21</t>
  </si>
  <si>
    <t xml:space="preserve">Sprint 21</t>
  </si>
  <si>
    <t xml:space="preserve">Complete security validation, compliance checks and rate-limiting hardening across the platform.</t>
  </si>
  <si>
    <t xml:space="preserve">SP22</t>
  </si>
  <si>
    <t xml:space="preserve">Sprint 22</t>
  </si>
  <si>
    <t xml:space="preserve">Finalize CI/CD, infrastructure, monitoring and backups for production deployment.</t>
  </si>
  <si>
    <t xml:space="preserve">SP23</t>
  </si>
  <si>
    <t xml:space="preserve">Sprint 23</t>
  </si>
  <si>
    <t xml:space="preserve">QA &amp; Release Readiness</t>
  </si>
  <si>
    <t xml:space="preserve">Complete end-to-end testing, UAT and documentation review across the whole feature set before release.</t>
  </si>
  <si>
    <t xml:space="preserve">SP24</t>
  </si>
  <si>
    <t xml:space="preserve">Sprint 24</t>
  </si>
  <si>
    <t xml:space="preserve">Deploy and finalize the first production-ready release of AI Marketplace with all approved MVP functionality.</t>
  </si>
  <si>
    <t xml:space="preserve">Story ID</t>
  </si>
  <si>
    <t xml:space="preserve">Title</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</si>
  <si>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</si>
  <si>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</si>
  <si>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</si>
  <si>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</si>
  <si>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</si>
  <si>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</si>
  <si>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</si>
  <si>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</si>
  <si>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that the codebase is modular and scalable.
Acceptance Criteria: Project follows the approved folder structure and starts successfully.</t>
  </si>
  <si>
    <t xml:space="preserve">High</t>
  </si>
  <si>
    <t xml:space="preserve">BF-002</t>
  </si>
  <si>
    <t xml:space="preserve">Centralized Configuration</t>
  </si>
  <si>
    <t xml:space="preserve">As a developer, I want all application configuration to be centralized, validated, and loaded from environment variables so that the application is secure, environment independent, and fails fast when required configuration is missing.
Acceptance Criteria: Settings are loaded from .env using Pydantic BaseSettings with no hardcoded values.</t>
  </si>
  <si>
    <t xml:space="preserve">BF-003</t>
  </si>
  <si>
    <t xml:space="preserve">Database Connectivity</t>
  </si>
  <si>
    <t xml:space="preserve">As a developer, I want database connectivity configured with SQLAlchemy Async and PostgreSQL so that the application can persist data reliably.
Acceptance Criteria: Application successfully connects to PostgreSQL using Async SQLAlchemy.</t>
  </si>
  <si>
    <t xml:space="preserve">BF-004</t>
  </si>
  <si>
    <t xml:space="preserve">Alembic Migrations</t>
  </si>
  <si>
    <t xml:space="preserve">As a developer, I want Alembic configured for database migrations so that schema changes are version controlled.
Acceptance Criteria: Initial migration can be created and applied successfully.</t>
  </si>
  <si>
    <t xml:space="preserve">BF-005</t>
  </si>
  <si>
    <t xml:space="preserve">Application Lifecycle Management</t>
  </si>
  <si>
    <t xml:space="preserve">As a developer, I want application lifecycle management configured so that startup and shutdown events are handled correctly.
Acceptance Criteria: Lifespan events initialize and release resources without errors.</t>
  </si>
  <si>
    <t xml:space="preserve">BF-006</t>
  </si>
  <si>
    <t xml:space="preserve">API Versioning</t>
  </si>
  <si>
    <t xml:space="preserve">As a developer, I want API versioning established so that future API changes remain backward compatible.
Acceptance Criteria: All endpoints are available under /api/v1.</t>
  </si>
  <si>
    <t xml:space="preserve">BF-007</t>
  </si>
  <si>
    <t xml:space="preserve">Health Check Endpoints</t>
  </si>
  <si>
    <t xml:space="preserve">As a developer, I want health check endpoints so that I can verify application and database availability.
Acceptance Criteria: Health endpoint returns application status and database connectivity.</t>
  </si>
  <si>
    <t xml:space="preserve">BF-008</t>
  </si>
  <si>
    <t xml:space="preserve">Structured Logging</t>
  </si>
  <si>
    <t xml:space="preserve">As a developer, I want structured logging so that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</si>
  <si>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</si>
  <si>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</si>
  <si>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</si>
  <si>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global exception handling so that API errors are returned in a consistent format.
Acceptance Criteria: Validation, business, and unexpected exceptions return standardized responses.</t>
  </si>
  <si>
    <t xml:space="preserve">BF-010</t>
  </si>
  <si>
    <t xml:space="preserve">Standardized API Response Models</t>
  </si>
  <si>
    <t xml:space="preserve">As a developer, I want reusable standardized API response models so that every API endpoint returns a consistent response contract for success, collections, pagination, and errors.
Acceptance Criteria: Reusable generic response models support success, paginated, and standardized error responses compatible with the global exception handler (BF-009); Pydantic v2 generics used where appropriate; Health endpoints updated to the standardized model; OpenAPI reflects the schemas; unit tests validate serialization.</t>
  </si>
  <si>
    <t xml:space="preserve">BF-011</t>
  </si>
  <si>
    <t xml:space="preserve">Security Utilities</t>
  </si>
  <si>
    <t xml:space="preserve">As a developer, I want security utilities prepared so that authentication can be implemented without restructuring the project.
Acceptance Criteria: Password hashing, JWT helpers, and security dependencies are available but unused.</t>
  </si>
  <si>
    <t xml:space="preserve">BF-012</t>
  </si>
  <si>
    <t xml:space="preserve">Reusable Repository Layer</t>
  </si>
  <si>
    <t xml:space="preserve">As a developer, I want a reusable repository layer that isolates database access from business logic, so that services remain focused on business rules and persistence concerns are centralized, consistent, and easily testable.
Acceptance Criteria: Base repository and repository interfaces are implemented.</t>
  </si>
  <si>
    <t xml:space="preserve">BF-013</t>
  </si>
  <si>
    <t xml:space="preserve">Service Layer &amp; Repository Contracts</t>
  </si>
  <si>
    <t xml:space="preserve">As a developer, I want a service layer so that business logic is separated from controllers and repositories.
Acceptance Criteria: Generic asynchronous BaseRepository implemented with common CRUD operations; repository interfaces defined for future business modules; architecture follows Router -&gt; Service -&gt; Repository -&gt; Database; repositories are the only layer permitted to access the database directly; no business entities or MVP functionality introduced.</t>
  </si>
  <si>
    <t xml:space="preserve">BF-014</t>
  </si>
  <si>
    <t xml:space="preserve">Request Middleware &amp; Correlation IDs</t>
  </si>
  <si>
    <t xml:space="preserve">As a developer, I want centralized HTTP middleware for request logging, correlation IDs, and request execution timing so that every request can be consistently traced, monitored, and diagnosed across the application without adding logging logic to individual routes or services.
Acceptance Criteria: Global middleware generates/propagates a correlation ID attached to context and response headers; every request is logged with method, path, status, execution time, correlation ID, client IP, and user ID when available; sensitive data (credentials, tokens, secrets) excluded; middleware is async and covered by tests.</t>
  </si>
  <si>
    <t xml:space="preserve">BF-015</t>
  </si>
  <si>
    <t xml:space="preserve">OpenAPI Documentation</t>
  </si>
  <si>
    <t xml:space="preserve">As a developer, I want the backend to automatically generate and expose OpenAPI documentation so that developers can easily discover, understand, and test all available API endpoints without requiring separate manual documentation.
Acceptance Criteria: Swagger UI and ReDoc are accessible and render all /api/v1 endpoints; API metadata centrally configured; endpoints documented with summaries, tags, response models and status codes; docs generated automatically from source with no manual OpenAPI files.</t>
  </si>
  <si>
    <t xml:space="preserve">BF-016</t>
  </si>
  <si>
    <t xml:space="preserve">Backend Testing Framework</t>
  </si>
  <si>
    <t xml:space="preserve">As a developer, I want a standardized backend testing framework configured so that automated tests can validate application behavior, support future feature development, and integrate seamlessly with the project's CI workflow.
Acceptance Criteria: Pytest fully configured with a dedicated tests/ structure; shared fixtures available for reuse; at least one automated test executes successfully; configuration documented for future contributors.</t>
  </si>
  <si>
    <t xml:space="preserve">BF-017</t>
  </si>
  <si>
    <t xml:space="preserve">Code Quality Tooling</t>
  </si>
  <si>
    <t xml:space="preserve">As a developer, I want automated Python code quality tooling configured so that coding standards are enforced consistently across the project and code quality issues are detected before changes are merged.
Acceptance Criteria: Ruff configured as the standard linter with a centralized config committed to the repo; entire backend passes linting with zero errors; developer docs updated with local run instructions.</t>
  </si>
  <si>
    <t xml:space="preserve">BF-018</t>
  </si>
  <si>
    <t xml:space="preserve">Backend Onboarding Documentation</t>
  </si>
  <si>
    <t xml:space="preserve">As a developer, I want comprehensive project documentation so that any new contributor can quickly understand the backend architecture, set up a local development environment, execute common development tasks, and follow the project's engineering workflow without relying on tribal knowledge.
Acceptance Criteria: Root README.md created/updated as the primary onboarding guide covering prerequisites, installation, environment config, structure, dev commands, testing, linting, migrations, API docs, and workflow; all commands verified against the current repository.</t>
  </si>
  <si>
    <t xml:space="preserve">Low</t>
  </si>
  <si>
    <t xml:space="preserve">BF-001, BF-002, BF-003, BF-004, BF-005, BF-006, BF-007, BF-008, BF-009, BF-010, BF-011, BF-012, BF-013, BF-014, BF-015, BF-016, BF-017</t>
  </si>
  <si>
    <t xml:space="preserve">AUTH-001</t>
  </si>
  <si>
    <t xml:space="preserve">Identity Domain Models &amp; Migration</t>
  </si>
  <si>
    <t xml:space="preserve">As a developer, I want the Identity domain's structural tables (users, roles, permissions, role_permissions, user_roles) modeled and migrated so the platform has a foundation to authenticate against.
Acceptance Criteria: SQLAlchemy models + Alembic migration for all five tables per 04_DATABASE.md; partial unique constraints on email/phone/external_auth_subject; customer/provider/admin roles seeded; no endpoints or auth logic included.</t>
  </si>
  <si>
    <t xml:space="preserve">AUTH-002</t>
  </si>
  <si>
    <t xml:space="preserve">OTP Verification Service</t>
  </si>
  <si>
    <t xml:space="preserve">As a developer, I want a shared OTP generation/verification service so registration, login, arrival-verification and claim-listing all reuse one mechanism instead of four.
Acceptance Criteria: otp_verifications model + migration; hashed codes, 5-minute TTL, attempt cap; SMS delivery behind a stubbed SmsSender interface (no real provider wired yet).</t>
  </si>
  <si>
    <t xml:space="preserve">AUTH-003</t>
  </si>
  <si>
    <t xml:space="preserve">Mobile Number + OTP Registration &amp; Login</t>
  </si>
  <si>
    <t xml:space="preserve">As a customer or provider, I want to register or log in with my mobile number and an OTP so I can access the platform without a password.
Acceptance Criteria: request-otp and verify endpoints; new numbers create a User with the customer role, existing numbers authenticate; no Customer Profile row created here (deferred to the Customer domain).</t>
  </si>
  <si>
    <t xml:space="preserve">AUTH-004</t>
  </si>
  <si>
    <t xml:space="preserve">Google &amp; Apple OAuth Registration &amp; Login</t>
  </si>
  <si>
    <t xml:space="preserve">As a customer or provider, I want to sign in with Google or Apple so I don't have to manage a separate credential.
Acceptance Criteria: server-side ID token verification against each provider's public keys; account matched on (auth_provider, external_auth_subject), not email; different-provider-same-email results in two accounts, not a silent merge.</t>
  </si>
  <si>
    <t xml:space="preserve">AUTH-005</t>
  </si>
  <si>
    <t xml:space="preserve">JWT Access &amp; Refresh Token Issuance</t>
  </si>
  <si>
    <t xml:space="preserve">As an authenticated user, I want short-lived access tokens and rotating refresh tokens so my session is secure without re-entering credentials constantly.
Acceptance Criteria: sessions + refresh_tokens models/migration; 15-minute JWT with no PII in the payload; refresh rotation invalidates the prior token.</t>
  </si>
  <si>
    <t xml:space="preserve">AUTH-003, AUTH-004</t>
  </si>
  <si>
    <t xml:space="preserve">AUTH-006</t>
  </si>
  <si>
    <t xml:space="preserve">Device &amp; Session Management</t>
  </si>
  <si>
    <t xml:space="preserve">As a user, I want to see and revoke my active sessions so I can secure my account if a device is lost or compromised.
Acceptance Criteria: devices model/migration; list-sessions and revoke-one/revoke-all endpoints; revocation is enforced by the refresh endpoint, not just recorded.</t>
  </si>
  <si>
    <t xml:space="preserve">AUTH-007</t>
  </si>
  <si>
    <t xml:space="preserve">RBAC Authorization Foundation</t>
  </si>
  <si>
    <t xml:space="preserve">As a platform owner, I want a reusable role-check dependency so every future module protects its endpoints the same way.
Acceptance Criteria: require_role() dependency; correct 401 (no/invalid token) vs 403 (wrong role) semantics; ownership-check helper returning 404 where existence itself would leak; proven against a GET /auth/me endpoint.</t>
  </si>
  <si>
    <t xml:space="preserve">AUTH-008</t>
  </si>
  <si>
    <t xml:space="preserve">Auth Rate Limiting &amp; Brute-Force Protection</t>
  </si>
  <si>
    <t xml:space="preserve">As a platform owner, I want auth endpoints rate-limited so credential stuffing and OTP brute-forcing are mitigated.
Acceptance Criteria: Redis-backed limiter at 10 req/min on OTP/OAuth/refresh endpoints; generic lockout message that never reveals whether an account exists.</t>
  </si>
  <si>
    <t xml:space="preserve">AUTH-003, AUTH-004, AUTH-005</t>
  </si>
  <si>
    <t xml:space="preserve">AUTH-009</t>
  </si>
  <si>
    <t xml:space="preserve">Auth Audit Logging</t>
  </si>
  <si>
    <t xml:space="preserve">As a platform owner, I want login/logout/registration events immutably logged so security-sensitive activity is auditable.
Acceptance Criteria: audit_logs model/migration (no soft-delete/version columns -- immutable by design); AuditLogger.record() call added to registration, login, logout and session revocation; no secrets ever written to before/after_state.</t>
  </si>
  <si>
    <t xml:space="preserve">AUTH-003, AUTH-004, AUTH-006</t>
  </si>
  <si>
    <t xml:space="preserve">FND-001</t>
  </si>
  <si>
    <t xml:space="preserve">Flutter Project Architecture, Riverpod &amp; GoRouter Setup</t>
  </si>
  <si>
    <t xml:space="preserve">As a developer, I want the Flutter project organized feature-first with Riverpod and GoRouter configured so every later screen has a consistent place to live.
Acceptance Criteria: feature-first folder structure per 02_ARCHITECTURE.md; GoRouter routes for the two navigation shells (Customer/Provider mode); no business screens built yet.</t>
  </si>
  <si>
    <t xml:space="preserve">FND-002</t>
  </si>
  <si>
    <t xml:space="preserve">Material 3 Theme &amp; Design Tokens from DESIGN.md</t>
  </si>
  <si>
    <t xml:space="preserve">As a developer, I want the app's ColorScheme, typography and shape tokens generated from DESIGN.md so the UI matches the approved visual identity everywhere, not per-widget.
Acceptance Criteria: ColorScheme.fromSeed(0xFF2F54EB); Inter typography scale; 8/12/16/24dp radius tokens; no hardcoded colors anywhere per 07_UI_GUIDELINES.md.</t>
  </si>
  <si>
    <t xml:space="preserve">FND-003</t>
  </si>
  <si>
    <t xml:space="preserve">Localization Infrastructure (EN/AR, RTL)</t>
  </si>
  <si>
    <t xml:space="preserve">As a customer or provider, I want the app in English or Arabic with correct RTL layout so I can use it comfortably in my language.
Acceptance Criteria: Flutter localization wired for en/ar; RTL mirroring verified on a sample screen; language switch persists across sessions.</t>
  </si>
  <si>
    <t xml:space="preserve">FND-004</t>
  </si>
  <si>
    <t xml:space="preserve">Shared UI Component Library</t>
  </si>
  <si>
    <t xml:space="preserve">As a developer, I want reusable buttons, cards, bottom sheets, and empty/error/loading states so features don't reinvent them.
Acceptance Criteria: components implement DESIGN.md tokens (button-primary, card-standard, bottom-sheet); no duplicate component implementations across features.</t>
  </si>
  <si>
    <t xml:space="preserve">FAO-001</t>
  </si>
  <si>
    <t xml:space="preserve">Splash &amp; Language Selection Screens</t>
  </si>
  <si>
    <t xml:space="preserve">As a new user, I want a brief splash screen and a clear language choice so the app starts fast and in my language.
Acceptance Criteria: implements S-01 and S-02 from 15_SCREEN_INVENTORY.md; session-check routing on splash; language selection is skippable on return visits.</t>
  </si>
  <si>
    <t xml:space="preserve">FAO-002</t>
  </si>
  <si>
    <t xml:space="preserve">Sign In / Sign Up Screen</t>
  </si>
  <si>
    <t xml:space="preserve">As a new or returning user, I want Google, Apple, and mobile-number options on one screen so I can register or log in the same way I did last time.
Acceptance Criteria: implements S-03; wired to AUTH-004 (OAuth) and routes to the OTP screen for mobile; no guest path exposed.</t>
  </si>
  <si>
    <t xml:space="preserve">FND-004, AUTH-004</t>
  </si>
  <si>
    <t xml:space="preserve">FAO-003</t>
  </si>
  <si>
    <t xml:space="preserve">Mobile OTP Entry Screen</t>
  </si>
  <si>
    <t xml:space="preserve">As a user registering or logging in by phone, I want a clear OTP entry screen with a resend timer so I can complete verification without confusion.
Acceptance Criteria: implements S-04; wired to AUTH-003; resend countdown matches AUTH-002's TTL; error states use plain-language copy per 16_UX_GUIDELINES.md.</t>
  </si>
  <si>
    <t xml:space="preserve">FAO-002, AUTH-003</t>
  </si>
  <si>
    <t xml:space="preserve">FAO-004</t>
  </si>
  <si>
    <t xml:space="preserve">Auth Flow End-to-End Testing</t>
  </si>
  <si>
    <t xml:space="preserve">As a QA engineer, I want widget and integration tests across the full auth flow so regressions are caught before release.
Acceptance Criteria: automated tests cover new-user registration (both OAuth and mobile) and returning-user login; RTL layout checked per 16_UX_GUIDELINES.md's review checklist.</t>
  </si>
  <si>
    <t xml:space="preserve">FAO-001, FAO-002, FAO-003</t>
  </si>
  <si>
    <t xml:space="preserve">CUST-001</t>
  </si>
  <si>
    <t xml:space="preserve">Customer Domain Models &amp; Migration</t>
  </si>
  <si>
    <t xml:space="preserve">As a developer, I want customer_profiles, saved_addresses and customer_preferences modeled and migrated so customer data has a home.
Acceptance Criteria: models + migration per 04_DATABASE.md Customer Domain; one-to-one customer_profiles&lt;-&gt;users; default notification channel whatsapp, default language from locale.</t>
  </si>
  <si>
    <t xml:space="preserve">CUST-002</t>
  </si>
  <si>
    <t xml:space="preserve">Customer Profile Auto-Provisioning &amp; Preferences API</t>
  </si>
  <si>
    <t xml:space="preserve">As a newly registered user, I want a Customer Profile created automatically so I don't have to fill out a separate signup step to start searching.
Acceptance Criteria: registration completion (AUTH-003/AUTH-004) now also creates customer_profiles + customer_preferences in the same transaction; preferences read/update endpoint.</t>
  </si>
  <si>
    <t xml:space="preserve">CUST-001, AUTH-003, AUTH-004</t>
  </si>
  <si>
    <t xml:space="preserve">CUST-003</t>
  </si>
  <si>
    <t xml:space="preserve">Saved Addresses API</t>
  </si>
  <si>
    <t xml:space="preserve">As a customer, I want to save, edit, and delete addresses so I don't re-enter my location every time I search.
Acceptance Criteria: CRUD endpoints; one address markable as default; ownership enforced via AUTH-007's ownership-check helper.</t>
  </si>
  <si>
    <t xml:space="preserve">CUST-001, AUTH-007</t>
  </si>
  <si>
    <t xml:space="preserve">CUST-004</t>
  </si>
  <si>
    <t xml:space="preserve">Add Address &amp; Saved Addresses Screens</t>
  </si>
  <si>
    <t xml:space="preserve">As a customer, I want to add my first address during onboarding (or skip it) and manage saved addresses later, so location entry is never a blocker.
Acceptance Criteria: implements S-05 (skippable) and S-12; skipping does not block registration completion.</t>
  </si>
  <si>
    <t xml:space="preserve">CUST-003, FND-004</t>
  </si>
  <si>
    <t xml:space="preserve">CUST-005</t>
  </si>
  <si>
    <t xml:space="preserve">Customer Domain Testing</t>
  </si>
  <si>
    <t xml:space="preserve">As a QA engineer, I want the customer domain covered by tests so profile/address/preference bugs are caught early.
Acceptance Criteria: unit tests for auto-provisioning, address CRUD, ownership checks; integration test for the full registration-to-profile-created path.</t>
  </si>
  <si>
    <t xml:space="preserve">CUST-002, CUST-003, CUST-004</t>
  </si>
  <si>
    <t xml:space="preserve">CAT-001</t>
  </si>
  <si>
    <t xml:space="preserve">Category Data Model &amp; Migration</t>
  </si>
  <si>
    <t xml:space="preserve">As a developer, I want a self-referential categories table and a provider_categories join table so providers can belong to one or more categories.
Acceptance Criteria: model + migration per 04_DATABASE.md Category Domain; slug uniqueness enforced; supports optional sub-categories.</t>
  </si>
  <si>
    <t xml:space="preserve">CAT-002</t>
  </si>
  <si>
    <t xml:space="preserve">Category Question Template Data Model &amp; Migration</t>
  </si>
  <si>
    <t xml:space="preserve">As a developer, I want category_question_templates modeled so the AI's follow-up questions are data-driven, not hardcoded per category.
Acceptance Criteria: model + migration; question_type as VARCHAR (not enum, expected to grow) with a JSONB options field for select types.</t>
  </si>
  <si>
    <t xml:space="preserve">CAT-003</t>
  </si>
  <si>
    <t xml:space="preserve">Initial Category Taxonomy Seed Data</t>
  </si>
  <si>
    <t xml:space="preserve">As a product owner, I want a narrow, launch-ready category list seeded so the app has real categories on day one, resolving the critical-path open decision in 13_OPEN_DECISIONS.md item 1.
Acceptance Criteria: seed script for the initial category set (formal businesses + individual freelancers per 00_PROJECT_CONTEXT.md Section 4) with EN/AR names; idempotent, safe to re-run.</t>
  </si>
  <si>
    <t xml:space="preserve">CAT-004</t>
  </si>
  <si>
    <t xml:space="preserve">Category &amp; Question Template Admin API</t>
  </si>
  <si>
    <t xml:space="preserve">As an admin, I want to add or edit categories and question templates without a deploy, so the taxonomy can evolve based on real search analytics.
Acceptance Criteria: admin-only CRUD endpoints (RBAC via AUTH-007); changes take effect immediately for the AI intake and provider onboarding pickers.</t>
  </si>
  <si>
    <t xml:space="preserve">CAT-002, AUTH-007</t>
  </si>
  <si>
    <t xml:space="preserve">PROV-001</t>
  </si>
  <si>
    <t xml:space="preserve">Provider Domain Models &amp; Migration</t>
  </si>
  <si>
    <t xml:space="preserve">As a developer, I want the Provider aggregate (providers, business_profiles, freelancer_profiles, provider_categories, provider_availability, portfolios, service_areas) modeled and migrated.
Acceptance Criteria: models + migration per 04_DATABASE.md Provider Domain; nullable user_id on providers to support Google-seeded unclaimed listings; one provider per user, exactly one subtype.</t>
  </si>
  <si>
    <t xml:space="preserve">CAT-001, AUTH-001</t>
  </si>
  <si>
    <t xml:space="preserve">PROV-002</t>
  </si>
  <si>
    <t xml:space="preserve">Provider Registration &amp; Basic Info API</t>
  </si>
  <si>
    <t xml:space="preserve">As a user, I want to start listing my business or service by choosing a type and entering basic info, so I can create a storefront on the platform.
Acceptance Criteria: implements Flow 2 steps 1-3 from 14_USER_FLOWS.md; reuses the caller's existing Account (dual-role, no new registration) per 03_DOMAIN_MODEL.md; assigns the provider role.</t>
  </si>
  <si>
    <t xml:space="preserve">PROV-001, AUTH-003, AUTH-004</t>
  </si>
  <si>
    <t xml:space="preserve">PROV-003</t>
  </si>
  <si>
    <t xml:space="preserve">Business Details &amp; Freelancer Details API</t>
  </si>
  <si>
    <t xml:space="preserve">As a provider, I want to enter details specific to my type (fixed location/hours for a Business, travel radius/skills for a Freelancer) so my profile reflects how customers actually reach me.
Acceptance Criteria: two endpoints for the two subtypes per Flow 2 step 4; providers.verification_status defaults to pending, is_discoverable to false.</t>
  </si>
  <si>
    <t xml:space="preserve">PROV-004</t>
  </si>
  <si>
    <t xml:space="preserve">Portfolio &amp; Availability Management API</t>
  </si>
  <si>
    <t xml:space="preserve">As a provider, I want to upload portfolio photos and set my weekly availability so customers can see my work and know when I'm reachable.
Acceptance Criteria: portfolio photo CRUD with reordering; availability CRUD per weekday plus an emergency/urgent flag.</t>
  </si>
  <si>
    <t xml:space="preserve">PROV-005</t>
  </si>
  <si>
    <t xml:space="preserve">Provider Type Selection &amp; Basic Info Screens</t>
  </si>
  <si>
    <t xml:space="preserve">As a user listing a business or service, I want clear screens for choosing my type and entering basic info so onboarding feels guided, not like a long form.
Acceptance Criteria: implements S-15, S-16, S-17 with a visible step indicator.</t>
  </si>
  <si>
    <t xml:space="preserve">PROV-002, FND-004</t>
  </si>
  <si>
    <t xml:space="preserve">PROV-006</t>
  </si>
  <si>
    <t xml:space="preserve">Business/Freelancer Details Screens</t>
  </si>
  <si>
    <t xml:space="preserve">As a provider, I want a details screen tailored to my type so I only see fields relevant to how I operate.
Acceptance Criteria: implements S-18a and S-18b; map picker for location/base point and a radius slider.</t>
  </si>
  <si>
    <t xml:space="preserve">PROV-005, PROV-003</t>
  </si>
  <si>
    <t xml:space="preserve">PROV-007</t>
  </si>
  <si>
    <t xml:space="preserve">Provider Domain Testing</t>
  </si>
  <si>
    <t xml:space="preserve">As a QA engineer, I want the provider domain covered by tests so onboarding and profile bugs are caught before launch.
Acceptance Criteria: unit tests for subtype immutability, one-provider-per-user constraint; integration test for the full basic-info-to-details onboarding path.</t>
  </si>
  <si>
    <t xml:space="preserve">PROV-004, PROV-006</t>
  </si>
  <si>
    <t xml:space="preserve">VER-001</t>
  </si>
  <si>
    <t xml:space="preserve">Verification Domain Models &amp; Migration</t>
  </si>
  <si>
    <t xml:space="preserve">As a developer, I want verification_records and verification_documents modeled so provider trust status has a durable, auditable home.
Acceptance Criteria: models + migration per 04_DATABASE.md Verification Domain; status lifecycle enum (pending/under_review/approved/rejected); reviewed_by references an admin User.</t>
  </si>
  <si>
    <t xml:space="preserve">PROV-001, AUTH-001</t>
  </si>
  <si>
    <t xml:space="preserve">VER-002</t>
  </si>
  <si>
    <t xml:space="preserve">Document Upload &amp; OCR-Stub Integration API</t>
  </si>
  <si>
    <t xml:space="preserve">As a provider, I want to upload my ID or license and see what the system read from it, so I can confirm accuracy before submitting for review.
Acceptance Criteria: upload endpoint validates MIME/size/extension and never trusts the original filename; OCR integration point is a stubbed interface (real Ejari/Emirates ID pipeline integration is a follow-up story once the existing asset's interface is confirmed).</t>
  </si>
  <si>
    <t xml:space="preserve">VER-003</t>
  </si>
  <si>
    <t xml:space="preserve">Verification Status Lifecycle &amp; Discoverability Sync</t>
  </si>
  <si>
    <t xml:space="preserve">As a platform owner, I want a provider's discoverability to update automatically and atomically when their verification status changes, so an unapproved Freelancer is never visible to customers.
Acceptance Criteria: status transitions (pending -&gt; under_review -&gt; approved/rejected) update providers.verification_status and is_discoverable in one transaction; Freelancer approval is mandatory before is_discoverable can be true.</t>
  </si>
  <si>
    <t xml:space="preserve">VER-001, PROV-001</t>
  </si>
  <si>
    <t xml:space="preserve">VER-004</t>
  </si>
  <si>
    <t xml:space="preserve">Verification Upload &amp; Status Screens</t>
  </si>
  <si>
    <t xml:space="preserve">As a provider, I want to see my verification status in plain language so I know whether I'm live, waiting, or need to fix something.
Acceptance Criteria: implements S-19 and S-20; status copy avoids internal jargon per 16_UX_GUIDELINES.md's term mapping; resubmit path shown on rejection.</t>
  </si>
  <si>
    <t xml:space="preserve">VER-002, FND-004</t>
  </si>
  <si>
    <t xml:space="preserve">VER-005</t>
  </si>
  <si>
    <t xml:space="preserve">Verification Domain Testing</t>
  </si>
  <si>
    <t xml:space="preserve">As a QA engineer, I want the verification gate tested so a Freelancer can never become discoverable without approval.
Acceptance Criteria: test asserts is_discoverable stays false for every status except approved on a Freelancer; upload validation tests for rejected file types.</t>
  </si>
  <si>
    <t xml:space="preserve">VER-003, VER-004</t>
  </si>
  <si>
    <t xml:space="preserve">GEO-001</t>
  </si>
  <si>
    <t xml:space="preserve">Enable earthdistance/cube Extensions &amp; GiST Indexes</t>
  </si>
  <si>
    <t xml:space="preserve">As a developer, I want PostgreSQL's earthdistance/cube extensions enabled and location columns indexed so proximity queries don't scan the full table.
Acceptance Criteria: migration enabling both extensions; GiST index on saved_addresses and service_areas per 04_DATABASE.md Section 13.</t>
  </si>
  <si>
    <t xml:space="preserve">CUST-001, PROV-001</t>
  </si>
  <si>
    <t xml:space="preserve">GEO-002</t>
  </si>
  <si>
    <t xml:space="preserve">Proximity Query Service</t>
  </si>
  <si>
    <t xml:space="preserve">As a developer, I want a reusable proximity query service so every feature that needs 'providers near this point' uses the same, index-backed pattern.
Acceptance Criteria: service filters with earth_box before refining with earth_distance per the geospatial-matching skill; radii handled consistently in meters.</t>
  </si>
  <si>
    <t xml:space="preserve">GEO-003</t>
  </si>
  <si>
    <t xml:space="preserve">Geospatial Infrastructure Testing</t>
  </si>
  <si>
    <t xml:space="preserve">As a QA engineer, I want the proximity query service tested against known coordinates so distance-based matching is verifiably correct.
Acceptance Criteria: tests assert correct in-radius/out-of-radius results and that queries use the GiST index (via query plan check), not a sequential scan.</t>
  </si>
  <si>
    <t xml:space="preserve">CLM-001</t>
  </si>
  <si>
    <t xml:space="preserve">Google Places Import Job</t>
  </si>
  <si>
    <t xml:space="preserve">As a product owner, I want Business supply bootstrapped from public Google listings so the directory isn't empty at launch.
Acceptance Criteria: import job creates providers rows with listing_source=google_seeded_unclaimed, is_claimed=false, and a populated google_place_id; never overwrites a claimed listing's owner-edited fields.</t>
  </si>
  <si>
    <t xml:space="preserve">CLM-002</t>
  </si>
  <si>
    <t xml:space="preserve">Claim-Listing OTP API</t>
  </si>
  <si>
    <t xml:space="preserve">As a business owner, I want to claim my Google-seeded listing by verifying the public phone number on record, so I gain edit access to my own storefront.
Acceptance Criteria: OTP sent to the listing's public number (not the claimant's own), reusing AUTH-002's OTP service with purpose=claim_listing; success sets is_claimed=true and populates user_id; then routes through the same Verification gate as PROV-003/VER-002.</t>
  </si>
  <si>
    <t xml:space="preserve">CLM-001, AUTH-002, VER-001</t>
  </si>
  <si>
    <t xml:space="preserve">CLM-003</t>
  </si>
  <si>
    <t xml:space="preserve">Claim Search &amp; OTP Verification Screens</t>
  </si>
  <si>
    <t xml:space="preserve">As a business owner, I want to find my unclaimed listing by name and verify ownership so claiming feels quick and safe.
Acceptance Criteria: implements S-21 and S-22, including the 'this isn't my number' fallback-to-admin-review link.</t>
  </si>
  <si>
    <t xml:space="preserve">CLM-002, FND-004</t>
  </si>
  <si>
    <t xml:space="preserve">CLM-004</t>
  </si>
  <si>
    <t xml:space="preserve">Claim Flow Testing</t>
  </si>
  <si>
    <t xml:space="preserve">As a QA engineer, I want the claim flow tested so an unrelated person can't claim someone else's business.
Acceptance Criteria: test asserts OTP goes only to the public number on record, never a user-supplied number; test for the admin-fallback path when OTP verification fails.</t>
  </si>
  <si>
    <t xml:space="preserve">CLM-002, CLM-003</t>
  </si>
  <si>
    <t xml:space="preserve">DIR-001</t>
  </si>
  <si>
    <t xml:space="preserve">Structured Search API</t>
  </si>
  <si>
    <t xml:space="preserve">As a customer, I want to filter providers by category and distance without needing the AI conversation, so basic discovery works even before AI intake ships.
Acceptance Criteria: filters in order (category -&gt; geospatial radius via GEO-002 -&gt; discoverability) per the matching-query-design skill; excludes any provider with is_discoverable=false.</t>
  </si>
  <si>
    <t xml:space="preserve">CAT-001, GEO-002, VER-003</t>
  </si>
  <si>
    <t xml:space="preserve">DIR-002</t>
  </si>
  <si>
    <t xml:space="preserve">Search Results Screen -- Structured Mode</t>
  </si>
  <si>
    <t xml:space="preserve">As a customer, I want a ranked list of nearby providers by category so I can browse results directly, ahead of the AI intake shipping.
Acceptance Criteria: implements S-08 in its pre-AI form (category/distance filter, no conversational entry yet).</t>
  </si>
  <si>
    <t xml:space="preserve">DIR-001, FND-004</t>
  </si>
  <si>
    <t xml:space="preserve">DIR-003</t>
  </si>
  <si>
    <t xml:space="preserve">Directory Search Testing</t>
  </si>
  <si>
    <t xml:space="preserve">As a QA engineer, I want the structured search filter order tested so category, geography and discoverability are never applied out of order.
Acceptance Criteria: tests assert filter precedence and that ranking ties break deterministically per the matching-query-design skill.</t>
  </si>
  <si>
    <t xml:space="preserve">DIR-001, DIR-002</t>
  </si>
  <si>
    <t xml:space="preserve">AI-001</t>
  </si>
  <si>
    <t xml:space="preserve">LLM Provider Adapter &amp; System Prompt Management</t>
  </si>
  <si>
    <t xml:space="preserve">As a developer, I want the LLM provider behind a service interface with version-controlled system prompts, so swapping providers or auditing a prompt change never touches Domain/API code.
Acceptance Criteria: ConversationService interface hides the concrete LLM SDK; prompts live as reviewable files, not inline strings, per the ai-conversation-engineering skill.</t>
  </si>
  <si>
    <t xml:space="preserve">AI-002</t>
  </si>
  <si>
    <t xml:space="preserve">Conversation Session, Message &amp; Confidence Score Models/Migration</t>
  </si>
  <si>
    <t xml:space="preserve">As a developer, I want conversation_sessions, messages and confidence_scores modeled so every AI intake turn is persisted and auditable.
Acceptance Criteria: models + migration per 04_DATABASE.md Conversation Domain; messages ordered by sequence_number; confidence_scores tagged with model_version.</t>
  </si>
  <si>
    <t xml:space="preserve">CUST-001, AI-001</t>
  </si>
  <si>
    <t xml:space="preserve">AI-003</t>
  </si>
  <si>
    <t xml:space="preserve">RAG-Grounded Category Resolution &amp; Follow-Up Question Service</t>
  </si>
  <si>
    <t xml:space="preserve">As a customer, I want the AI to ask relevant follow-up questions and never invent availability, prices or capabilities, so I can trust its recommendations.
Acceptance Criteria: questions sourced only from CAT-002's category_question_templates; retrieval happens before generation; a null provider field is reported as unknown, never guessed, per the ai-conversation-engineering skill.</t>
  </si>
  <si>
    <t xml:space="preserve">AI-002, CAT-004</t>
  </si>
  <si>
    <t xml:space="preserve">AI-004</t>
  </si>
  <si>
    <t xml:space="preserve">Confidence Scoring &amp; Wizard-of-Oz Routing</t>
  </si>
  <si>
    <t xml:space="preserve">As a customer, I want my request handled well even if the AI is uncertain, so I still get a next step instead of a dead end.
Acceptance Criteria: every completed session writes a confidence score; below-threshold sessions create a manual_match_assignments-ready record (built out fully in SP13) instead of blocking the customer; no silent retry loops.</t>
  </si>
  <si>
    <t xml:space="preserve">AI-005</t>
  </si>
  <si>
    <t xml:space="preserve">AI Conversation Screen</t>
  </si>
  <si>
    <t xml:space="preserve">As a customer, I want a calm, responsive chat interface for describing my need so the AI intake doesn't feel like waiting on a broken app.
Acceptance Criteria: implements S-07 with the staged latency feedback from 16_UX_GUIDELINES.md (typing indicator -&gt; contextual label -&gt; graceful timeout, no raw confidence score shown).</t>
  </si>
  <si>
    <t xml:space="preserve">AI-004, FND-004</t>
  </si>
  <si>
    <t xml:space="preserve">AI-006</t>
  </si>
  <si>
    <t xml:space="preserve">AI Intake Testing</t>
  </si>
  <si>
    <t xml:space="preserve">As a QA engineer, I want the AI intake tested for grounding and routing correctness, since this is the product's core differentiator.
Acceptance Criteria: tests assert no fabricated provider attributes are ever surfaced; tests assert below-threshold sessions route to manual assignment rather than a degraded auto-match.</t>
  </si>
  <si>
    <t xml:space="preserve">AI-004, AI-005</t>
  </si>
  <si>
    <t xml:space="preserve">MATCH-001</t>
  </si>
  <si>
    <t xml:space="preserve">Search Request Model &amp; Migration</t>
  </si>
  <si>
    <t xml:space="preserve">As a developer, I want search_requests modeled to hold the AI's structured output so a request can be matched against real provider data.
Acceptance Criteria: model + migration per 04_DATABASE.md Search Domain; structured_criteria as JSONB validated via a Pydantic v2 model before persistence.</t>
  </si>
  <si>
    <t xml:space="preserve">MATCH-002</t>
  </si>
  <si>
    <t xml:space="preserve">Provider Matching Service</t>
  </si>
  <si>
    <t xml:space="preserve">As a customer, I want ranked matches that combine location, category and provider quality, so the best-fit providers show up first.
Acceptance Criteria: filter order category -&gt; geospatial radius -&gt; discoverability, then rank by rating + review volume + proximity per the geospatial-matching skill; writes ranked provider_matches rows.</t>
  </si>
  <si>
    <t xml:space="preserve">MATCH-001, DIR-001</t>
  </si>
  <si>
    <t xml:space="preserve">MATCH-003</t>
  </si>
  <si>
    <t xml:space="preserve">Search Event Log &amp; Unmatched Query Capture</t>
  </si>
  <si>
    <t xml:space="preserve">As an admin, I want every search logged whether matched or not, so I can spot supply gaps and category issues.
Acceptance Criteria: search_event_log written for every search_requests row; was_matched flag set correctly; feeds the (later) unmatched-query admin report.</t>
  </si>
  <si>
    <t xml:space="preserve">MATCH-004</t>
  </si>
  <si>
    <t xml:space="preserve">Manual Match Assignment (Wizard-of-Oz)</t>
  </si>
  <si>
    <t xml:space="preserve">As an admin, I want low-confidence sessions routed to me for manual matching, so customers still get a good result without full automation.
Acceptance Criteria: manual_match_assignments model/migration; AI-004's below-threshold trigger creates a real assignment row; the customer's eventual result looks identical to an automated match.</t>
  </si>
  <si>
    <t xml:space="preserve">AI-004, MATCH-002</t>
  </si>
  <si>
    <t xml:space="preserve">MATCH-005</t>
  </si>
  <si>
    <t xml:space="preserve">Search Results Screen (AI-Powered Mode) &amp; Home Wiring</t>
  </si>
  <si>
    <t xml:space="preserve">As a customer, I want my AI conversation to flow directly into ranked results, so the experience feels seamless from question to answer.
Acceptance Criteria: upgrades DIR-002's Search Results screen to consume MATCH-002's AI-powered ranking; Home (S-06) search entry wired to start a Conversation Session.</t>
  </si>
  <si>
    <t xml:space="preserve">MATCH-002, AI-005, DIR-002</t>
  </si>
  <si>
    <t xml:space="preserve">MATCH-006</t>
  </si>
  <si>
    <t xml:space="preserve">Matching Testing</t>
  </si>
  <si>
    <t xml:space="preserve">As a QA engineer, I want the matching pipeline tested end to end so ranking and fallback logic are provably correct.
Acceptance Criteria: tests cover filter order, deterministic tie-breaking, and that a below-threshold session produces a manual assignment, not a low-quality auto-match.</t>
  </si>
  <si>
    <t xml:space="preserve">MATCH-004, MATCH-005</t>
  </si>
  <si>
    <t xml:space="preserve">CONTACT-001</t>
  </si>
  <si>
    <t xml:space="preserve">Contact View Model &amp; Migration</t>
  </si>
  <si>
    <t xml:space="preserve">As a developer, I want contact_views modeled so a customer viewing a provider's phone number is a real, timestamped record.
Acceptance Criteria: model + migration per 04_DATABASE.md Contact Domain; references customer, provider, and optionally the originating search request.</t>
  </si>
  <si>
    <t xml:space="preserve">MATCH-001, PROV-001</t>
  </si>
  <si>
    <t xml:space="preserve">CONTACT-002</t>
  </si>
  <si>
    <t xml:space="preserve">Contact View Creation API with Self-Dealing Guard</t>
  </si>
  <si>
    <t xml:space="preserve">As a customer, I want to see a matched provider's phone number immediately when I tap Contact, with no quote or gating step.
Acceptance Criteria: implements Flow 4 step 10; rejects the request if the customer's Account is the same Account that owns the target provider, per 03_DOMAIN_MODEL.md's self-dealing rule.</t>
  </si>
  <si>
    <t xml:space="preserve">CONTACT-003</t>
  </si>
  <si>
    <t xml:space="preserve">Provider Profile &amp; Contact Reveal Screens</t>
  </si>
  <si>
    <t xml:space="preserve">As a customer, I want a clear provider profile and a simple contact reveal so calling or WhatsApping a provider feels effortless.
Acceptance Criteria: implements S-09 and the Contact Reveal bottom sheet; rating shown together with review count, never alone, per 16_UX_GUIDELINES.md.</t>
  </si>
  <si>
    <t xml:space="preserve">CONTACT-002, FND-004</t>
  </si>
  <si>
    <t xml:space="preserve">CONTACT-004</t>
  </si>
  <si>
    <t xml:space="preserve">Contact View Testing</t>
  </si>
  <si>
    <t xml:space="preserve">As a QA engineer, I want the self-dealing guard specifically tested, since it's a fraud-prevention control, not just a nice-to-have.
Acceptance Criteria: test explicitly asserts a Contact View is rejected when the requesting Customer Account owns the target Provider.</t>
  </si>
  <si>
    <t xml:space="preserve">CONTACT-002, CONTACT-003</t>
  </si>
  <si>
    <t xml:space="preserve">NOTIF-001</t>
  </si>
  <si>
    <t xml:space="preserve">Notification Domain Models &amp; Migration</t>
  </si>
  <si>
    <t xml:space="preserve">As a developer, I want notifications, notification_preferences and notification_delivery modeled so alerts and their delivery status are tracked consistently.
Acceptance Criteria: models + migration per 04_DATABASE.md Notification Domain; per-channel and per-category preference toggles.</t>
  </si>
  <si>
    <t xml:space="preserve">NOTIF-002</t>
  </si>
  <si>
    <t xml:space="preserve">WhatsApp/SMS/Email Delivery Adapters</t>
  </si>
  <si>
    <t xml:space="preserve">As a platform owner, I want notification delivery behind one interface with a swappable adapter per channel, so adding or changing a provider never touches calling code.
Acceptance Criteria: NotificationSender interface with WhatsApp/SMS/Email adapters per the third-party-integrations skill; failures surface as typed errors, never a silent no-op.</t>
  </si>
  <si>
    <t xml:space="preserve">NOTIF-003</t>
  </si>
  <si>
    <t xml:space="preserve">Notification Trigger Wiring</t>
  </si>
  <si>
    <t xml:space="preserve">As a user, I want to be notified about new leads, verification status changes, and outcome-tag prompts, so I don't have to keep checking the app.
Acceptance Criteria: triggers wired per the table in 14_USER_FLOWS.md Flow 8 (new Contact View -&gt; Provider, verification change -&gt; Provider, manual match created -&gt; Admin, etc.); preferences from NOTIF-001 checked before every send.</t>
  </si>
  <si>
    <t xml:space="preserve">NOTIF-002, CONTACT-002, VER-003</t>
  </si>
  <si>
    <t xml:space="preserve">NOTIF-004</t>
  </si>
  <si>
    <t xml:space="preserve">Notification Domain Testing</t>
  </si>
  <si>
    <t xml:space="preserve">As a QA engineer, I want notification dispatch tested so a disabled preference or channel is a hard stop, not a soft suggestion.
Acceptance Criteria: tests assert a disabled channel/category blocks the send; idempotency-key test prevents duplicate sends on retry.</t>
  </si>
  <si>
    <t xml:space="preserve">REV-001</t>
  </si>
  <si>
    <t xml:space="preserve">Outcome Tag &amp; Review Domain Models &amp; Migration</t>
  </si>
  <si>
    <t xml:space="preserve">As a developer, I want outcome_tags, reviews and provider_rating_summaries modeled so the platform's only conversion signal and its anchor-verified reviews have a home.
Acceptance Criteria: models + migration per 04_DATABASE.md Contact/Review Domains; reviews.contact_view_id is unique, enforcing one review per Contact View.</t>
  </si>
  <si>
    <t xml:space="preserve">REV-002</t>
  </si>
  <si>
    <t xml:space="preserve">Outcome Tag Capture API &amp; Prompt Trigger</t>
  </si>
  <si>
    <t xml:space="preserve">As a customer, I want to be asked 'Did you hire them?' after contacting a provider, so the platform has a real signal without tracking payment details.
Acceptance Criteria: only the Customer who owns the Contact View may submit the tag; submission triggers the notification prompt from NOTIF-003.</t>
  </si>
  <si>
    <t xml:space="preserve">REV-001, NOTIF-003</t>
  </si>
  <si>
    <t xml:space="preserve">REV-003</t>
  </si>
  <si>
    <t xml:space="preserve">Anchor-Verified Review Submission API &amp; Rating Recalculation</t>
  </si>
  <si>
    <t xml:space="preserve">As a customer who hired a provider, I want to leave a rating and review, so future customers can trust the provider's track record.
Acceptance Criteria: a Review can only be created against a Contact View with hired=true; provider_rating_summaries recalculated in the same transaction as the review write.</t>
  </si>
  <si>
    <t xml:space="preserve">REV-004</t>
  </si>
  <si>
    <t xml:space="preserve">Outcome Tag Prompt &amp; Write-a-Review Screens</t>
  </si>
  <si>
    <t xml:space="preserve">As a customer, I want a quick, low-friction way to confirm a hire and leave a review, so giving feedback doesn't feel like a chore.
Acceptance Criteria: implements the Outcome Tag Prompt bottom sheet and S-10; Review screen only reachable after a 'Yes' outcome tag.</t>
  </si>
  <si>
    <t xml:space="preserve">REV-003, FND-004</t>
  </si>
  <si>
    <t xml:space="preserve">REV-005</t>
  </si>
  <si>
    <t xml:space="preserve">Outcome Tag &amp; Review Domain Testing</t>
  </si>
  <si>
    <t xml:space="preserve">As a QA engineer, I want the anchor-verification rule tested so a review can never exist without a qualifying Contact View and 'Yes' outcome tag.
Acceptance Criteria: test asserts review creation fails against a Contact View with no outcome tag or a 'No' outcome tag.</t>
  </si>
  <si>
    <t xml:space="preserve">REV-003, REV-004</t>
  </si>
  <si>
    <t xml:space="preserve">FCX-001</t>
  </si>
  <si>
    <t xml:space="preserve">My Activity Screen</t>
  </si>
  <si>
    <t xml:space="preserve">As a customer, I want one place to see my in-progress requests, contacted providers, and reviews, so I always know where to look for my own history.
Acceptance Criteria: implements S-11 with the In Progress / Contacted / Reviewed filter chips, deep-linking into each item's context.</t>
  </si>
  <si>
    <t xml:space="preserve">MATCH-005, CONTACT-003, REV-004</t>
  </si>
  <si>
    <t xml:space="preserve">FCX-002</t>
  </si>
  <si>
    <t xml:space="preserve">Notifications Inbox Screen</t>
  </si>
  <si>
    <t xml:space="preserve">As a user, I want a proper notifications inbox reachable from the bell icon, so I don't miss important updates.
Acceptance Criteria: implements S-13, grouped New/Earlier, tapping a notification deep-links to its context.</t>
  </si>
  <si>
    <t xml:space="preserve">NOTIF-003, FND-004</t>
  </si>
  <si>
    <t xml:space="preserve">FCX-003</t>
  </si>
  <si>
    <t xml:space="preserve">Profile &amp; Settings Screen Finalization</t>
  </si>
  <si>
    <t xml:space="preserve">As a user, I want my settings, saved addresses, language, and a clear path to also list my business, all in one place.
Acceptance Criteria: implements S-14 fully, including the 'List Your Business' entry point (Flow 6) and account deletion per UAE PDPL.</t>
  </si>
  <si>
    <t xml:space="preserve">CUST-004, PROV-002</t>
  </si>
  <si>
    <t xml:space="preserve">FCX-004</t>
  </si>
  <si>
    <t xml:space="preserve">Customer Experience End-to-End Testing</t>
  </si>
  <si>
    <t xml:space="preserve">As a QA engineer, I want the consolidated customer experience tested against the UX review checklist so nothing regresses.
Acceptance Criteria: run the checklist from 16_UX_GUIDELINES.md against each screen; RTL and dynamic-text-scaling checks included.</t>
  </si>
  <si>
    <t xml:space="preserve">FCX-001, FCX-002, FCX-003</t>
  </si>
  <si>
    <t xml:space="preserve">FPX-001</t>
  </si>
  <si>
    <t xml:space="preserve">Provider Dashboard Screen &amp; Visibility Analytics Backend</t>
  </si>
  <si>
    <t xml:space="preserve">As a provider, I want a dashboard summarizing my leads, verification status, and visibility, so I know how my listing is performing at a glance.
Acceptance Criteria: implements S-23; visibility analytics reuse search_event_log per 04_DATABASE.md rather than new tracking infrastructure.</t>
  </si>
  <si>
    <t xml:space="preserve">CONTACT-003, VER-004, MATCH-003</t>
  </si>
  <si>
    <t xml:space="preserve">FPX-002</t>
  </si>
  <si>
    <t xml:space="preserve">Leads Screen</t>
  </si>
  <si>
    <t xml:space="preserve">As a provider, I want to see who viewed my contact info and whether they hired me, so I can gauge real interest.
Acceptance Criteria: implements S-24, showing outcome status where available, without excess customer PII.</t>
  </si>
  <si>
    <t xml:space="preserve">FPX-001, REV-003</t>
  </si>
  <si>
    <t xml:space="preserve">FPX-003</t>
  </si>
  <si>
    <t xml:space="preserve">Storefront / Edit Profile Screen</t>
  </si>
  <si>
    <t xml:space="preserve">As a provider, I want to edit my profile, portfolio, and availability from one screen after onboarding, so keeping my listing current is easy.
Acceptance Criteria: implements S-25, reusing PROV-004's portfolio/availability APIs.</t>
  </si>
  <si>
    <t xml:space="preserve">FPX-004</t>
  </si>
  <si>
    <t xml:space="preserve">Visibility Analytics Screen</t>
  </si>
  <si>
    <t xml:space="preserve">As a provider, I want simple stats on search appearances and contact views over time, so I can see if my listing is working.
Acceptance Criteria: implements S-26 with a 30-day trend view.</t>
  </si>
  <si>
    <t xml:space="preserve">FPX-005</t>
  </si>
  <si>
    <t xml:space="preserve">Provider Experience End-to-End Testing</t>
  </si>
  <si>
    <t xml:space="preserve">As a QA engineer, I want the consolidated provider experience tested against the UX review checklist.
Acceptance Criteria: run the checklist from 16_UX_GUIDELINES.md against each screen; verify the Customer/Provider mode switch works from Storefront.</t>
  </si>
  <si>
    <t xml:space="preserve">FPX-002, FPX-003, FPX-004</t>
  </si>
  <si>
    <t xml:space="preserve">ADM-001</t>
  </si>
  <si>
    <t xml:space="preserve">Admin Verification &amp; Manual Match Queue API</t>
  </si>
  <si>
    <t xml:space="preserve">As an admin, I want a queue of pending verifications and low-confidence sessions needing manual matching, so I can act on them without digging through the database.
Acceptance Criteria: endpoints for VER-001's pending records and MATCH-004's assignments; admin platform (Flutter vs. a separate internal tool) is an explicit open decision flagged in 15_SCREEN_INVENTORY.md, not assumed here.</t>
  </si>
  <si>
    <t xml:space="preserve">VER-003, MATCH-004</t>
  </si>
  <si>
    <t xml:space="preserve">ADM-002</t>
  </si>
  <si>
    <t xml:space="preserve">Unmatched Query Report API</t>
  </si>
  <si>
    <t xml:space="preserve">As an admin, I want to see which searches produced no good match, so I can spot supply gaps and category issues.
Acceptance Criteria: unmatched_query_reports model/migration; reads from MATCH-003's search_event_log where was_matched=false; supports admin annotation/status.</t>
  </si>
  <si>
    <t xml:space="preserve">ADM-003</t>
  </si>
  <si>
    <t xml:space="preserve">Verified Visit OTP</t>
  </si>
  <si>
    <t xml:space="preserve">As a provider, I want an optional way to confirm I physically attended a job, so I can build extra trust with future customers.
Acceptance Criteria: visit_verifications model/migration tied to a Contact View, reusing AUTH-002's OTP service; shown as a badge on the provider profile.</t>
  </si>
  <si>
    <t xml:space="preserve">CONTACT-001, AUTH-002</t>
  </si>
  <si>
    <t xml:space="preserve">ADM-004</t>
  </si>
  <si>
    <t xml:space="preserve">Shareable Provider Profile Deep Links</t>
  </si>
  <si>
    <t xml:space="preserve">As a provider, I want a shareable link to my profile so I can distribute it via WhatsApp and drive my own traffic to the platform.
Acceptance Criteria: deep link resolves to S-09 (Provider Profile) even for a user without the app installed (app-store fallback).</t>
  </si>
  <si>
    <t xml:space="preserve">ADM-005</t>
  </si>
  <si>
    <t xml:space="preserve">Admin &amp; Value-Layer Testing</t>
  </si>
  <si>
    <t xml:space="preserve">As a QA engineer, I want the admin queue and value-layer features tested so launch-blocking trust features work correctly.
Acceptance Criteria: tests cover the unmatched-query report accuracy and that a Verified Visit badge only appears after a real OTP confirmation.</t>
  </si>
  <si>
    <t xml:space="preserve">ADM-001, ADM-002, ADM-003</t>
  </si>
  <si>
    <t xml:space="preserve">PF-001</t>
  </si>
  <si>
    <t xml:space="preserve">Database &amp; API Performance Review</t>
  </si>
  <si>
    <t xml:space="preserve">As a developer, I want slow queries and endpoints identified and optimized so the platform performs well under real usage.
Acceptance Criteria: Query plans reviewed for the highest-traffic endpoints (search, matching, notifications); indexes added where missing.</t>
  </si>
  <si>
    <t xml:space="preserve">PF-002</t>
  </si>
  <si>
    <t xml:space="preserve">Caching &amp; Scalability Improvements</t>
  </si>
  <si>
    <t xml:space="preserve">As a developer, I want caching applied to expensive, frequently-read data (search results, provider profiles) so response times remain low as usage grows.
Acceptance Criteria: A caching layer is added with sensible invalidation for search-result and provider-profile reads.</t>
  </si>
  <si>
    <t xml:space="preserve">PF-003</t>
  </si>
  <si>
    <t xml:space="preserve">Mobile Performance Profiling</t>
  </si>
  <si>
    <t xml:space="preserve">As a developer, I want the Flutter app profiled for jank and slow screens so the mobile experience feels responsive.
Acceptance Criteria: Key screens (AI Conversation, Search Results) profiled and optimized against a target frame budget.</t>
  </si>
  <si>
    <t xml:space="preserve">PF-004</t>
  </si>
  <si>
    <t xml:space="preserve">Load Testing &amp; Benchmarks</t>
  </si>
  <si>
    <t xml:space="preserve">As a developer, I want load tests against key endpoints so performance regressions are caught before release.
Acceptance Criteria: Baseline benchmarks recorded for AI intake, search/matching and notification delivery under simulated concurrent load.</t>
  </si>
  <si>
    <t xml:space="preserve">PF-001, PF-002</t>
  </si>
  <si>
    <t xml:space="preserve">SH-001</t>
  </si>
  <si>
    <t xml:space="preserve">Security Testing &amp; Vulnerability Remediation</t>
  </si>
  <si>
    <t xml:space="preserve">As a platform owner, I want a security pass across the API so known vulnerability classes (injection, broken access control, etc.) are checked and fixed.
Acceptance Criteria: OWASP-aligned review completed; findings triaged and remediated or explicitly accepted.</t>
  </si>
  <si>
    <t xml:space="preserve">SH-002</t>
  </si>
  <si>
    <t xml:space="preserve">Platform-Wide Rate Limiting &amp; Abuse Hardening</t>
  </si>
  <si>
    <t xml:space="preserve">As a platform owner, I want rate limiting extended from auth/registration to all public endpoints so abuse is mitigated everywhere, not just at login.
Acceptance Criteria: Rate limits configured per endpoint category via centralized settings.</t>
  </si>
  <si>
    <t xml:space="preserve">SH-003</t>
  </si>
  <si>
    <t xml:space="preserve">Security Sign-Off</t>
  </si>
  <si>
    <t xml:space="preserve">As a platform owner, I want a documented security sign-off so I know the platform is ready for production traffic.
Acceptance Criteria: Sign-off document lists what was tested, fixed and accepted as residual risk.</t>
  </si>
  <si>
    <t xml:space="preserve">SH-001, SH-002</t>
  </si>
  <si>
    <t xml:space="preserve">DV-001</t>
  </si>
  <si>
    <t xml:space="preserve">CI/CD Pipeline Finalization</t>
  </si>
  <si>
    <t xml:space="preserve">As a developer, I want a finalized CI/CD pipeline so backend and mobile releases are consistent and low-risk.
Acceptance Criteria: Pipeline runs lint/tests/build for both backend and Flutter on every merge, with a deploy step to the target environment.</t>
  </si>
  <si>
    <t xml:space="preserve">DV-002</t>
  </si>
  <si>
    <t xml:space="preserve">Infrastructure, Monitoring &amp; Backups</t>
  </si>
  <si>
    <t xml:space="preserve">As a platform owner, I want monitoring, alerting and automated backups configured so issues are caught early and data is recoverable.
Acceptance Criteria: Monitoring dashboards and alerts cover API health/error rate; automated database backups are scheduled and verified restorable.</t>
  </si>
  <si>
    <t xml:space="preserve">QA-001</t>
  </si>
  <si>
    <t xml:space="preserve">As a platform owner, I want a full end-to-end pass across every feature sprint so the MVP is validated as a whole, not just per-sprint.
Acceptance Criteria: Each MVP feature from 11_MVP_SCOPE.md is exercised manually and via automated E2E tests; issues are logged and triaged.</t>
  </si>
  <si>
    <t xml:space="preserve">QA-002</t>
  </si>
  <si>
    <t xml:space="preserve">Documentation &amp; Production Validation Review</t>
  </si>
  <si>
    <t xml:space="preserve">As a platform owner, I want documentation and production readiness reviewed so the release is well-supported after launch.
Acceptance Criteria: README/API docs updated; production environment validated against the checklist in DV-002.</t>
  </si>
  <si>
    <t xml:space="preserve">MR-001</t>
  </si>
  <si>
    <t xml:space="preserve">Production Deployment &amp; Release Sign-Off</t>
  </si>
  <si>
    <t xml:space="preserve">As a platform owner, I want the MVP deployed to production and formally signed off so it is officially released.
Acceptance Criteria: Deployment completed via DV-001's pipeline; sign-off confirms every Must Have item in 11_MVP_SCOPE.md is live.</t>
  </si>
  <si>
    <t xml:space="preserve">QA-001, QA-002</t>
  </si>
  <si>
    <t xml:space="preserve">MR-002</t>
  </si>
  <si>
    <t xml:space="preserve">Post-Release Monitoring &amp; Hotfix Readiness</t>
  </si>
  <si>
    <t xml:space="preserve">As a platform owner, I want monitoring and a hotfix process active immediately after release so issues can be caught and fixed quickly.
Acceptance Criteria: On-call/monitoring plan documented; a hotfix deployment path is verified before launch.</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</si>
  <si>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</si>
  <si>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</si>
  <si>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</si>
  <si>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</si>
  <si>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</si>
  <si>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</si>
  <si>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</si>
  <si>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</si>
  <si>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</si>
  <si>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ML1-ML24 (all Phase 1-6 milestones)</t>
  </si>
  <si>
    <t xml:space="preserve">First production release covering the full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</si>
  <si>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</si>
  <si>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</si>
  <si>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</si>
  <si>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</si>
  <si>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</si>
  <si>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</si>
  <si>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</si>
  <si>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</si>
  <si>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</si>
  <si>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</si>
  <si>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</si>
  <si>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</si>
  <si>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</si>
  <si>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</si>
  <si>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</si>
  <si>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</si>
  <si>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</si>
  <si>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</si>
  <si>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</si>
  <si>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Planned</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</si>
  <si>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</si>
  <si>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</si>
  <si>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</si>
  <si>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</si>
  <si>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</si>
  <si>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</si>
  <si>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</si>
  <si>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</si>
  <si>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</si>
  <si>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</si>
  <si>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</si>
  <si>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</si>
  <si>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</si>
  <si>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</si>
  <si>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</si>
  <si>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Critical</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</si>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</sst>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5">
    <numFmt numFmtId="164" formatCode="General"/>
    <numFmt numFmtId="165" formatCode="0%"/>
    <numFmt numFmtId="166" formatCode="#,##0.00"/>
    <numFmt numFmtId="167" formatCode="dd\-mmm\-yyyy"/>
    <numFmt numFmtId="168" formatCode="0.00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ptos Narrow"/>
      <family val="0"/>
      <charset val="1"/>
    </font>
    <font>
      <i val="true"/>
      <sz val="9"/>
      <color rgb="FF666666"/>
      <name val="Aptos Narrow"/>
      <family val="0"/>
      <charset val="1"/>
    </font>
    <font>
      <b val="true"/>
      <u val="singl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u val="single"/>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5" fontId="8" fillId="0" borderId="1" xfId="0" applyFont="true" applyBorder="true" applyAlignment="true" applyProtection="false">
      <alignment horizontal="general" vertical="center"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9"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70366437"/>
        <c:axId val="84115431"/>
      </c:barChart>
      <c:catAx>
        <c:axId val="7036643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115431"/>
        <c:crosses val="autoZero"/>
        <c:auto val="1"/>
        <c:lblAlgn val="ctr"/>
        <c:lblOffset val="100"/>
        <c:noMultiLvlLbl val="0"/>
      </c:catAx>
      <c:valAx>
        <c:axId val="8411543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036643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32237407"/>
        <c:axId val="85799056"/>
      </c:barChart>
      <c:catAx>
        <c:axId val="3223740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799056"/>
        <c:crosses val="autoZero"/>
        <c:auto val="1"/>
        <c:lblAlgn val="ctr"/>
        <c:lblOffset val="100"/>
        <c:noMultiLvlLbl val="0"/>
      </c:catAx>
      <c:valAx>
        <c:axId val="85799056"/>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3740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683640</xdr:colOff>
      <xdr:row>35</xdr:row>
      <xdr:rowOff>172800</xdr:rowOff>
    </xdr:to>
    <xdr:graphicFrame>
      <xdr:nvGraphicFramePr>
        <xdr:cNvPr id="1" name="Chart 1"/>
        <xdr:cNvGraphicFramePr/>
      </xdr:nvGraphicFramePr>
      <xdr:xfrm>
        <a:off x="5262840" y="5198040"/>
        <a:ext cx="4677840" cy="2556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493560</xdr:colOff>
      <xdr:row>35</xdr:row>
      <xdr:rowOff>172800</xdr:rowOff>
    </xdr:to>
    <xdr:graphicFrame>
      <xdr:nvGraphicFramePr>
        <xdr:cNvPr id="2" name="Chart 2"/>
        <xdr:cNvGraphicFramePr/>
      </xdr:nvGraphicFramePr>
      <xdr:xfrm>
        <a:off x="9257040" y="5198040"/>
        <a:ext cx="4675680" cy="2556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164160</xdr:colOff>
      <xdr:row>24</xdr:row>
      <xdr:rowOff>21600</xdr:rowOff>
    </xdr:to>
    <xdr:graphicFrame>
      <xdr:nvGraphicFramePr>
        <xdr:cNvPr id="3" name="Chart 1"/>
        <xdr:cNvGraphicFramePr/>
      </xdr:nvGraphicFramePr>
      <xdr:xfrm>
        <a:off x="12170520" y="1876320"/>
        <a:ext cx="575604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bl" displayName="EpicsTbl" ref="A1:K58" headerRowCount="1" totalsRowCount="0" totalsRowShown="0">
  <autoFilter ref="A1:K58"/>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bl" displayName="MilestonesTbl" ref="A1:L25" headerRowCount="1" totalsRowCount="0" totalsRowShown="0">
  <autoFilter ref="A1:L25"/>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7" headerRowCount="1" totalsRowCount="0" totalsRowShown="0">
  <autoFilter ref="A1:F7"/>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bl" displayName="SprintEpicsTbl" ref="A1:C58" headerRowCount="1" totalsRowCount="0" totalsRowShown="0">
  <autoFilter ref="A1:C58"/>
  <tableColumns count="3">
    <tableColumn id="1" name="Sprint ID"/>
    <tableColumn id="2" name="Epic Code"/>
    <tableColumn id="3" name="Milestone ID"/>
  </tableColumns>
</table>
</file>

<file path=xl/tables/table9.xml><?xml version="1.0" encoding="utf-8"?>
<table xmlns="http://schemas.openxmlformats.org/spreadsheetml/2006/main" id="9" name="SprintsTbl" displayName="SprintsTbl" ref="A1:M26" headerRowCount="1" totalsRowCount="0" totalsRowShown="0">
  <autoFilter ref="A1:M2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bl" displayName="StoriesTbl" ref="A1:O19" headerRowCount="1" totalsRowCount="0" totalsRowShown="0">
  <autoFilter ref="A1:O19"/>
  <tableColumns count="15">
    <tableColumn id="1" name="Story ID"/>
    <tableColumn id="2" name="Sprint ID"/>
    <tableColumn id="3" name="Epic Code"/>
    <tableColumn id="4" name="Milestone ID"/>
    <tableColumn id="5" name="Phase ID"/>
    <tableColumn id="6" name="Title"/>
    <tableColumn id="7" name="Description"/>
    <tableColumn id="8" name="Priority"/>
    <tableColumn id="9" name="Estimate (Hours)"/>
    <tableColumn id="10" name="Actual Hours"/>
    <tableColumn id="11" name="Story Points"/>
    <tableColumn id="12" name="Status"/>
    <tableColumn id="13" name="Assignee"/>
    <tableColumn id="14" name="Depends On"/>
    <tableColumn id="15"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0.1</v>
      </c>
      <c r="C7" s="6" t="n">
        <v>1</v>
      </c>
      <c r="D7" s="5" t="str">
        <f aca="false">IF(B7=1,"✅ Completed","🔄 In Progress")</f>
        <v>🔄 In Progress</v>
      </c>
      <c r="F7" s="0" t="s">
        <v>17</v>
      </c>
      <c r="G7" s="0" t="s">
        <v>18</v>
      </c>
      <c r="I7" s="0" t="s">
        <v>19</v>
      </c>
      <c r="J7" s="0" t="n">
        <f aca="false">COUNTIF(Stories!$L$2:L$200,"*Done*")</f>
        <v>18</v>
      </c>
    </row>
    <row r="8" customFormat="false" ht="18" hidden="false" customHeight="true" outlineLevel="0" collapsed="false">
      <c r="A8" s="5" t="s">
        <v>20</v>
      </c>
      <c r="B8" s="5" t="str">
        <f aca="false">IFERROR(INDEX('Phase Tracker'!$A$2:$A$7,MATCH(TRUE(),INDEX('Phase Tracker'!$E$2:$E$7&lt;1,0),0)),"All Phases Complete")</f>
        <v>PH2</v>
      </c>
      <c r="C8" s="5"/>
      <c r="D8" s="5"/>
      <c r="F8" s="0" t="str">
        <f aca="false">'Phase Tracker'!B2</f>
        <v>Platform Foundation</v>
      </c>
      <c r="G8" s="7" t="n">
        <f aca="false">'Phase Tracker'!E2</f>
        <v>1</v>
      </c>
      <c r="I8" s="0" t="s">
        <v>21</v>
      </c>
      <c r="J8" s="0" t="n">
        <f aca="false">COUNTIF(Stories!$L$2:L$200,"*In Progress*")</f>
        <v>0</v>
      </c>
    </row>
    <row r="9" customFormat="false" ht="18" hidden="false" customHeight="true" outlineLevel="0" collapsed="false">
      <c r="A9" s="5" t="s">
        <v>22</v>
      </c>
      <c r="B9" s="5" t="str">
        <f aca="false">IFERROR(INDEX(Milestones!$B$2:$B$25,MATCH(1,INDEX((Milestones!$C$2:$C$25=B8)*(Milestones!$J$2:$J$25&lt;1),0),0)),"All Milestones Complete")</f>
        <v>ML2</v>
      </c>
      <c r="C9" s="5"/>
      <c r="D9" s="5"/>
      <c r="F9" s="0" t="str">
        <f aca="false">'Phase Tracker'!B3</f>
        <v>Feature Delivery (Vertical Slices)</v>
      </c>
      <c r="G9" s="7" t="n">
        <f aca="false">'Phase Tracker'!E3</f>
        <v>0</v>
      </c>
      <c r="I9" s="0" t="s">
        <v>23</v>
      </c>
      <c r="J9" s="0" t="n">
        <f aca="false">COUNTIF(Stories!$L$2:L$200,"*Blocked*")</f>
        <v>0</v>
      </c>
    </row>
    <row r="10" customFormat="false" ht="18" hidden="false" customHeight="true" outlineLevel="0" collapsed="false">
      <c r="A10" s="5" t="s">
        <v>24</v>
      </c>
      <c r="B10" s="5" t="str">
        <f aca="false">IFERROR(INDEX(Sprints!$A$2:$A$26,MATCH(TRUE(),INDEX(Sprints!$I$2:$I$26&lt;1,0),0)),"All Sprints Complete")</f>
        <v>SP02</v>
      </c>
      <c r="C10" s="5"/>
      <c r="D10" s="5"/>
      <c r="F10" s="0" t="str">
        <f aca="false">'Phase Tracker'!B4</f>
        <v>Production Readiness</v>
      </c>
      <c r="G10" s="7" t="n">
        <f aca="false">'Phase Tracker'!E4</f>
        <v>0</v>
      </c>
      <c r="I10" s="0" t="s">
        <v>25</v>
      </c>
      <c r="J10" s="0" t="n">
        <f aca="false">COUNTIF(Stories!$L$2:L$200,"*Not Started*")</f>
        <v>0</v>
      </c>
    </row>
    <row r="11" customFormat="false" ht="18" hidden="false" customHeight="true" outlineLevel="0" collapsed="false">
      <c r="A11" s="5" t="s">
        <v>26</v>
      </c>
      <c r="B11" s="5" t="n">
        <f aca="false">COUNTIF('Phase Tracker'!$F$2:$F$7,"*Completed*")</f>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27</v>
      </c>
      <c r="B12" s="5" t="n">
        <f aca="false">COUNTIF(Milestones!$K$2:$K$25,"*Completed*")</f>
        <v>1</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28</v>
      </c>
      <c r="B13" s="5" t="n">
        <f aca="false">COUNTIF(Epics!$K$2:K$100,"*Completed*")</f>
        <v>1</v>
      </c>
      <c r="C13" s="5" t="n">
        <f aca="false">COUNTA(Epics!$C$2:C$100)</f>
        <v>38</v>
      </c>
      <c r="D13" s="5" t="str">
        <f aca="false">IF(B13=C13,"✅ Completed","🔄 In Progress")</f>
        <v>🔄 In Progress</v>
      </c>
      <c r="F13" s="0" t="n">
        <f aca="false">'Phase Tracker'!B7</f>
        <v>0</v>
      </c>
      <c r="G13" s="7" t="n">
        <f aca="false">'Phase Tracker'!E7</f>
        <v>0</v>
      </c>
    </row>
    <row r="14" customFormat="false" ht="18" hidden="false" customHeight="true" outlineLevel="0" collapsed="false">
      <c r="A14" s="5" t="s">
        <v>29</v>
      </c>
      <c r="B14" s="5" t="n">
        <f aca="false">COUNTIF(Stories!$L$2:L$200,"*Done*")</f>
        <v>18</v>
      </c>
      <c r="C14" s="5" t="n">
        <f aca="false">B15</f>
        <v>118</v>
      </c>
      <c r="D14" s="5" t="str">
        <f aca="false">IF(B14=C14,"✅ Completed","🔄 In Progress")</f>
        <v>🔄 In Progress</v>
      </c>
    </row>
    <row r="15" customFormat="false" ht="18" hidden="false" customHeight="true" outlineLevel="0" collapsed="false">
      <c r="A15" s="5" t="s">
        <v>30</v>
      </c>
      <c r="B15" s="5" t="n">
        <f aca="false">COUNTA(Stories!$A$2:A$200)</f>
        <v>118</v>
      </c>
      <c r="C15" s="5"/>
      <c r="D15" s="5"/>
    </row>
    <row r="16" customFormat="false" ht="18" hidden="false" customHeight="true" outlineLevel="0" collapsed="false">
      <c r="A16" s="5" t="s">
        <v>31</v>
      </c>
      <c r="B16" s="5" t="str">
        <f aca="false">Releases!$B$2&amp;" – "&amp;Releases!$C$2&amp;" ("&amp;Releases!$G$2&amp;")"</f>
        <v>v1.0 – AI Marketplace MVP Release (Planned)</v>
      </c>
      <c r="C16" s="5"/>
      <c r="D16" s="5"/>
    </row>
    <row r="17" customFormat="false" ht="18" hidden="false" customHeight="true" outlineLevel="0" collapsed="false">
      <c r="A17" s="5" t="s">
        <v>32</v>
      </c>
      <c r="B17" s="5" t="str">
        <f aca="false">IF(SUM(COUNTIF('Phase Tracker'!$F$2:$F$7,"*Blocked*"),COUNTIF(Milestones!$K$2:$K$25,"*Blocked*"),COUNTIF(Epics!$K$2:K$100,"*Blocked*"),COUNTIF(Sprints!$J$2:$J$26,"*Blocked*"),COUNTIF(Stories!$L$2:L$200,"*Blocked*"))&gt;0,"🔴 At Risk",IF(B7=1,"🟢 Complete","🟢 On Track"))</f>
        <v>🟢 On Track</v>
      </c>
      <c r="C17" s="5"/>
      <c r="D17" s="5"/>
    </row>
    <row r="18" customFormat="false" ht="18" hidden="false" customHeight="true" outlineLevel="0" collapsed="false">
      <c r="A18" s="5" t="s">
        <v>33</v>
      </c>
      <c r="B18" s="5" t="str">
        <f aca="false">IFERROR(INDEX(Sprints!$A$2:$A$26,MATCH(B10,Sprints!$A$2:$A$26,0)+1),"N/A")</f>
        <v>SP03</v>
      </c>
      <c r="C18" s="5"/>
      <c r="D18" s="5"/>
    </row>
    <row r="19" customFormat="false" ht="18" hidden="false" customHeight="true" outlineLevel="0" collapsed="false">
      <c r="A19" s="5" t="s">
        <v>34</v>
      </c>
      <c r="B19" s="5" t="n">
        <f aca="false">COUNTIF(Stories!$L$2:L$200,"*Blocked*")</f>
        <v>0</v>
      </c>
      <c r="C19" s="5" t="n">
        <v>0</v>
      </c>
      <c r="D19" s="5" t="str">
        <f aca="false">IF(B19=0,"✅ Good","🚫 Blocked")</f>
        <v>✅ Good</v>
      </c>
    </row>
    <row r="20" customFormat="false" ht="18" hidden="false" customHeight="true" outlineLevel="0" collapsed="false">
      <c r="A20" s="5" t="s">
        <v>35</v>
      </c>
      <c r="B20" s="5" t="n">
        <f aca="false">COUNTIF(Risks!$H$2:$H$200,"Open")</f>
        <v>0</v>
      </c>
      <c r="C20" s="5" t="n">
        <v>0</v>
      </c>
      <c r="D20" s="5" t="str">
        <f aca="false">IF(B20=0,"✅ Good","🔴 At Risk")</f>
        <v>✅ Good</v>
      </c>
    </row>
    <row r="21" customFormat="false" ht="18" hidden="false" customHeight="true" outlineLevel="0" collapsed="false">
      <c r="A21" s="5" t="s">
        <v>36</v>
      </c>
      <c r="B21" s="6" t="n">
        <f aca="false">B7</f>
        <v>0.1</v>
      </c>
      <c r="C21" s="6" t="n">
        <v>1</v>
      </c>
      <c r="D21" s="5" t="str">
        <f aca="false">IF(B21=1,"✅ Completed","🔄 In Progress")</f>
        <v>🔄 In Progress</v>
      </c>
    </row>
    <row r="24" customFormat="false" ht="18" hidden="false" customHeight="true" outlineLevel="0" collapsed="false">
      <c r="A24" s="8" t="s">
        <v>37</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{5FC83C52-9A44-4D4C-AE92-FA26AF1398D0}</x14:id>
        </ext>
      </extLst>
    </cfRule>
  </conditionalFormatting>
  <conditionalFormatting sqref="B21">
    <cfRule type="dataBar" priority="9">
      <dataBar showValue="1" minLength="10" maxLength="90">
        <cfvo type="num" val="0"/>
        <cfvo type="num" val="1"/>
        <color rgb="FF638EC6"/>
      </dataBar>
      <extLst>
        <ext xmlns:x14="http://schemas.microsoft.com/office/spreadsheetml/2009/9/main" uri="{B025F937-C7B1-47D3-B67F-A62EFF666E3E}">
          <x14:id>{40FBC1C6-501E-4B89-AE71-1634DA7A1F5B}</x14:id>
        </ext>
      </extLst>
    </cfRule>
  </conditionalFormatting>
  <conditionalFormatting sqref="B17">
    <cfRule type="expression" priority="10" aboveAverage="0" equalAverage="0" bottom="0" percent="0" rank="0" text="" dxfId="4">
      <formula>ISNUMBER(SEARCH("At Risk",D17))</formula>
    </cfRule>
  </conditionalFormatting>
  <hyperlinks>
    <hyperlink ref="A4" r:id="rId1" location="'Phase%20Tracker'!A1" display="→ Phase Tracker"/>
    <hyperlink ref="B4" r:id="rId2" location="'Milestones'!A1" display="→ Milestones"/>
    <hyperlink ref="C4" r:id="rId3" location="'Epics'!A1" display="→ Epics"/>
    <hyperlink ref="D4" r:id="rId4" location="'Sprints'!A1" display="→ Sprints"/>
    <hyperlink ref="E4" r:id="rId5" location="'Stories'!A1" display="→ Stories"/>
    <hyperlink ref="F4" r:id="rId6" location="'Releases'!A1" display="→ Releases"/>
    <hyperlink ref="G4" r:id="rId7" location="'Risks'!A1" display="→ Risks"/>
    <hyperlink ref="H4" r:id="rId8" location="'Decision_Log'!A1" display="→ Decision_Lo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5FC83C52-9A44-4D4C-AE92-FA26AF1398D0}">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40FBC1C6-501E-4B89-AE71-1634DA7A1F5B}">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30" hidden="false" customHeight="true" outlineLevel="0" collapsed="false">
      <c r="A1" s="4" t="s">
        <v>38</v>
      </c>
      <c r="B1" s="4" t="s">
        <v>17</v>
      </c>
      <c r="C1" s="4" t="s">
        <v>39</v>
      </c>
      <c r="D1" s="4" t="s">
        <v>40</v>
      </c>
      <c r="E1" s="4" t="s">
        <v>18</v>
      </c>
      <c r="F1" s="4" t="s">
        <v>13</v>
      </c>
    </row>
    <row r="2" customFormat="false" ht="34.5" hidden="false" customHeight="true" outlineLevel="0" collapsed="false">
      <c r="A2" s="0" t="s">
        <v>41</v>
      </c>
      <c r="B2" s="0" t="s">
        <v>42</v>
      </c>
      <c r="C2" s="0" t="s">
        <v>43</v>
      </c>
      <c r="D2" s="0" t="n">
        <v>0.1</v>
      </c>
      <c r="E2" s="0" t="n">
        <v>1</v>
      </c>
      <c r="F2" s="10" t="s">
        <v>44</v>
      </c>
    </row>
    <row r="3" customFormat="false" ht="34.5" hidden="false" customHeight="true" outlineLevel="0" collapsed="false">
      <c r="A3" s="0" t="s">
        <v>45</v>
      </c>
      <c r="B3" s="0" t="s">
        <v>46</v>
      </c>
      <c r="C3" s="0" t="s">
        <v>47</v>
      </c>
      <c r="D3" s="0" t="n">
        <v>0.65</v>
      </c>
      <c r="E3" s="0" t="n">
        <v>0</v>
      </c>
      <c r="F3" s="10" t="s">
        <v>48</v>
      </c>
    </row>
    <row r="4" customFormat="false" ht="34.5" hidden="false" customHeight="true" outlineLevel="0" collapsed="false">
      <c r="A4" s="0" t="s">
        <v>49</v>
      </c>
      <c r="B4" s="0" t="s">
        <v>50</v>
      </c>
      <c r="C4" s="0" t="s">
        <v>51</v>
      </c>
      <c r="D4" s="0" t="n">
        <v>0.2</v>
      </c>
      <c r="E4" s="0" t="n">
        <v>0</v>
      </c>
      <c r="F4" s="10" t="s">
        <v>48</v>
      </c>
    </row>
    <row r="5" customFormat="false" ht="34.5" hidden="false" customHeight="true" outlineLevel="0" collapsed="false">
      <c r="A5" s="0" t="s">
        <v>52</v>
      </c>
      <c r="B5" s="0" t="s">
        <v>53</v>
      </c>
      <c r="C5" s="0" t="s">
        <v>54</v>
      </c>
      <c r="D5" s="0" t="n">
        <v>0.05</v>
      </c>
      <c r="E5" s="0" t="n">
        <v>0</v>
      </c>
      <c r="F5" s="10" t="s">
        <v>48</v>
      </c>
    </row>
    <row r="6" customFormat="false" ht="34.5" hidden="false" customHeight="true" outlineLevel="0" collapsed="false">
      <c r="F6" s="10"/>
    </row>
    <row r="7" customFormat="false" ht="23.25" hidden="false" customHeight="true" outlineLevel="0" collapsed="false">
      <c r="F7" s="10"/>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{B53CFCAA-B6D3-47C0-BF46-903A70975CF0}</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53CFCAA-B6D3-47C0-BF46-903A70975CF0}">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67" zoomScaleNormal="167" zoomScalePageLayoutView="100" workbookViewId="0">
      <pane xSplit="0" ySplit="1" topLeftCell="A2" activePane="bottomLeft" state="frozen"/>
      <selection pane="topLeft" activeCell="A1" activeCellId="0" sqref="A1"/>
      <selection pane="bottomLeft" activeCell="E15" activeCellId="0" sqref="E15"/>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46"/>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30" hidden="false" customHeight="true" outlineLevel="0" collapsed="false">
      <c r="A1" s="4" t="s">
        <v>55</v>
      </c>
      <c r="B1" s="4" t="s">
        <v>56</v>
      </c>
      <c r="C1" s="4" t="s">
        <v>38</v>
      </c>
      <c r="D1" s="4" t="s">
        <v>57</v>
      </c>
      <c r="E1" s="4" t="s">
        <v>39</v>
      </c>
      <c r="F1" s="4" t="s">
        <v>58</v>
      </c>
      <c r="G1" s="4" t="s">
        <v>59</v>
      </c>
      <c r="H1" s="4" t="s">
        <v>60</v>
      </c>
      <c r="I1" s="4" t="s">
        <v>61</v>
      </c>
      <c r="J1" s="4" t="s">
        <v>18</v>
      </c>
      <c r="K1" s="4" t="s">
        <v>13</v>
      </c>
      <c r="L1" s="4" t="s">
        <v>62</v>
      </c>
    </row>
    <row r="2" customFormat="false" ht="34.5" hidden="false" customHeight="true" outlineLevel="0" collapsed="false">
      <c r="A2" s="5" t="n">
        <v>1</v>
      </c>
      <c r="B2" s="11" t="s">
        <v>63</v>
      </c>
      <c r="C2" s="5" t="s">
        <v>41</v>
      </c>
      <c r="D2" s="12" t="s">
        <v>64</v>
      </c>
      <c r="E2" s="12" t="s">
        <v>65</v>
      </c>
      <c r="F2" s="13" t="n">
        <v>46206</v>
      </c>
      <c r="G2" s="13" t="n">
        <v>46206</v>
      </c>
      <c r="H2" s="13" t="s">
        <v>66</v>
      </c>
      <c r="I2" s="5" t="n">
        <v>17</v>
      </c>
      <c r="J2" s="6" t="n">
        <f aca="false">IFERROR(AVERAGEIF(Epics!$B$2:B$100,B2,Epics!$J$2:J$100),0)</f>
        <v>1</v>
      </c>
      <c r="K2" s="5" t="str">
        <f aca="false">IF(COUNTIFS(Epics!$B$2:B$100,B2,Epics!$K$2:K$100,"*Blocked*")&gt;0,"🚫 Blocked",IF(J2=1,"✅ Completed",IF(J2&gt;0,"🔄 In Progress","⏳ Planned")))</f>
        <v>✅ Completed</v>
      </c>
      <c r="L2" s="5" t="n">
        <f aca="false">IF(SUMIF(Stories!$D$2:D$200,B2,Stories!$J$2:J$200)=0,IF(B2="ML1",17,0),SUMIF(Stories!$D$2:D$200,B2,Stories!$J$2:J$200))</f>
        <v>17</v>
      </c>
    </row>
    <row r="3" customFormat="false" ht="34.5" hidden="false" customHeight="true" outlineLevel="0" collapsed="false">
      <c r="A3" s="5" t="n">
        <v>2</v>
      </c>
      <c r="B3" s="11" t="s">
        <v>67</v>
      </c>
      <c r="C3" s="5" t="s">
        <v>45</v>
      </c>
      <c r="D3" s="12" t="s">
        <v>68</v>
      </c>
      <c r="E3" s="12" t="s">
        <v>69</v>
      </c>
      <c r="F3" s="13"/>
      <c r="G3" s="13"/>
      <c r="H3" s="13"/>
      <c r="I3" s="5"/>
      <c r="J3" s="6" t="n">
        <f aca="false">IFERROR(AVERAGEIF(Epics!$B$2:B$100,B3,Epics!$J$2:J$100),0)</f>
        <v>0</v>
      </c>
      <c r="K3" s="5" t="str">
        <f aca="false">IF(COUNTIFS(Epics!$B$2:B$100,B3,Epics!$K$2:K$100,"*Blocked*")&gt;0,"🚫 Blocked",IF(J3=1,"✅ Completed",IF(J3&gt;0,"🔄 In Progress","⏳ Planned")))</f>
        <v>⏳ Planned</v>
      </c>
      <c r="L3" s="5" t="n">
        <f aca="false">IF(SUMIF(Stories!$D$2:D$200,B3,Stories!$J$2:J$200)=0,IF(B3="ML1",17,0),SUMIF(Stories!$D$2:D$200,B3,Stories!$J$2:J$200))</f>
        <v>0</v>
      </c>
    </row>
    <row r="4" customFormat="false" ht="23.25" hidden="false" customHeight="true" outlineLevel="0" collapsed="false">
      <c r="A4" s="5" t="n">
        <v>3</v>
      </c>
      <c r="B4" s="11" t="s">
        <v>70</v>
      </c>
      <c r="C4" s="5" t="s">
        <v>45</v>
      </c>
      <c r="D4" s="12" t="s">
        <v>71</v>
      </c>
      <c r="E4" s="12" t="s">
        <v>72</v>
      </c>
      <c r="F4" s="13"/>
      <c r="G4" s="13"/>
      <c r="H4" s="13"/>
      <c r="I4" s="5"/>
      <c r="J4" s="6" t="n">
        <f aca="false">IFERROR(AVERAGEIF(Epics!$B$2:B$100,B4,Epics!$J$2:J$100),0)</f>
        <v>0</v>
      </c>
      <c r="K4" s="5" t="str">
        <f aca="false">IF(COUNTIFS(Epics!$B$2:B$100,B4,Epics!$K$2:K$100,"*Blocked*")&gt;0,"🚫 Blocked",IF(J4=1,"✅ Completed",IF(J4&gt;0,"🔄 In Progress","⏳ Planned")))</f>
        <v>⏳ Planned</v>
      </c>
      <c r="L4" s="5" t="n">
        <f aca="false">IF(SUMIF(Stories!$D$2:D$200,B4,Stories!$J$2:J$200)=0,IF(B4="ML1",17,0),SUMIF(Stories!$D$2:D$200,B4,Stories!$J$2:J$200))</f>
        <v>0</v>
      </c>
    </row>
    <row r="5" customFormat="false" ht="23.25" hidden="false" customHeight="true" outlineLevel="0" collapsed="false">
      <c r="A5" s="5" t="n">
        <v>4</v>
      </c>
      <c r="B5" s="11" t="s">
        <v>73</v>
      </c>
      <c r="C5" s="5" t="s">
        <v>45</v>
      </c>
      <c r="D5" s="12" t="s">
        <v>74</v>
      </c>
      <c r="E5" s="12" t="s">
        <v>75</v>
      </c>
      <c r="F5" s="13"/>
      <c r="G5" s="13"/>
      <c r="H5" s="13"/>
      <c r="I5" s="5"/>
      <c r="J5" s="6" t="n">
        <f aca="false">IFERROR(AVERAGEIF(Epics!$B$2:B$100,B5,Epics!$J$2:J$100),0)</f>
        <v>0</v>
      </c>
      <c r="K5" s="5" t="str">
        <f aca="false">IF(COUNTIFS(Epics!$B$2:B$100,B5,Epics!$K$2:K$100,"*Blocked*")&gt;0,"🚫 Blocked",IF(J5=1,"✅ Completed",IF(J5&gt;0,"🔄 In Progress","⏳ Planned")))</f>
        <v>⏳ Planned</v>
      </c>
      <c r="L5" s="5" t="n">
        <f aca="false">IF(SUMIF(Stories!$D$2:D$200,B5,Stories!$J$2:J$200)=0,IF(B5="ML1",17,0),SUMIF(Stories!$D$2:D$200,B5,Stories!$J$2:J$200))</f>
        <v>0</v>
      </c>
    </row>
    <row r="6" customFormat="false" ht="34.5" hidden="false" customHeight="true" outlineLevel="0" collapsed="false">
      <c r="A6" s="5" t="n">
        <v>5</v>
      </c>
      <c r="B6" s="11" t="s">
        <v>76</v>
      </c>
      <c r="C6" s="5" t="s">
        <v>45</v>
      </c>
      <c r="D6" s="12" t="s">
        <v>77</v>
      </c>
      <c r="E6" s="12" t="s">
        <v>78</v>
      </c>
      <c r="F6" s="13"/>
      <c r="G6" s="13"/>
      <c r="H6" s="13"/>
      <c r="I6" s="5"/>
      <c r="J6" s="6" t="n">
        <f aca="false">IFERROR(AVERAGEIF(Epics!$B$2:B$100,B6,Epics!$J$2:J$100),0)</f>
        <v>0</v>
      </c>
      <c r="K6" s="5" t="str">
        <f aca="false">IF(COUNTIFS(Epics!$B$2:B$100,B6,Epics!$K$2:K$100,"*Blocked*")&gt;0,"🚫 Blocked",IF(J6=1,"✅ Completed",IF(J6&gt;0,"🔄 In Progress","⏳ Planned")))</f>
        <v>⏳ Planned</v>
      </c>
      <c r="L6" s="5" t="n">
        <f aca="false">IF(SUMIF(Stories!$D$2:D$200,B6,Stories!$J$2:J$200)=0,IF(B6="ML1",17,0),SUMIF(Stories!$D$2:D$200,B6,Stories!$J$2:J$200))</f>
        <v>0</v>
      </c>
    </row>
    <row r="7" customFormat="false" ht="23.25" hidden="false" customHeight="true" outlineLevel="0" collapsed="false">
      <c r="A7" s="5" t="n">
        <v>6</v>
      </c>
      <c r="B7" s="11" t="s">
        <v>79</v>
      </c>
      <c r="C7" s="5" t="s">
        <v>45</v>
      </c>
      <c r="D7" s="12" t="s">
        <v>80</v>
      </c>
      <c r="E7" s="12" t="s">
        <v>81</v>
      </c>
      <c r="F7" s="13"/>
      <c r="G7" s="13"/>
      <c r="H7" s="13"/>
      <c r="I7" s="5"/>
      <c r="J7" s="6" t="n">
        <f aca="false">IFERROR(AVERAGEIF(Epics!$B$2:B$100,B7,Epics!$J$2:J$100),0)</f>
        <v>0</v>
      </c>
      <c r="K7" s="5" t="str">
        <f aca="false">IF(COUNTIFS(Epics!$B$2:B$100,B7,Epics!$K$2:K$100,"*Blocked*")&gt;0,"🚫 Blocked",IF(J7=1,"✅ Completed",IF(J7&gt;0,"🔄 In Progress","⏳ Planned")))</f>
        <v>⏳ Planned</v>
      </c>
      <c r="L7" s="5" t="n">
        <f aca="false">IF(SUMIF(Stories!$D$2:D$200,B7,Stories!$J$2:J$200)=0,IF(B7="ML1",17,0),SUMIF(Stories!$D$2:D$200,B7,Stories!$J$2:J$200))</f>
        <v>0</v>
      </c>
    </row>
    <row r="8" customFormat="false" ht="34.5" hidden="false" customHeight="true" outlineLevel="0" collapsed="false">
      <c r="A8" s="5" t="n">
        <v>7</v>
      </c>
      <c r="B8" s="11" t="s">
        <v>82</v>
      </c>
      <c r="C8" s="5" t="s">
        <v>45</v>
      </c>
      <c r="D8" s="12" t="s">
        <v>83</v>
      </c>
      <c r="E8" s="12" t="s">
        <v>84</v>
      </c>
      <c r="F8" s="13"/>
      <c r="G8" s="13"/>
      <c r="H8" s="13"/>
      <c r="I8" s="5"/>
      <c r="J8" s="6" t="n">
        <f aca="false">IFERROR(AVERAGEIF(Epics!$B$2:B$100,B8,Epics!$J$2:J$100),0)</f>
        <v>0</v>
      </c>
      <c r="K8" s="5" t="str">
        <f aca="false">IF(COUNTIFS(Epics!$B$2:B$100,B8,Epics!$K$2:K$100,"*Blocked*")&gt;0,"🚫 Blocked",IF(J8=1,"✅ Completed",IF(J8&gt;0,"🔄 In Progress","⏳ Planned")))</f>
        <v>⏳ Planned</v>
      </c>
      <c r="L8" s="5" t="n">
        <f aca="false">IF(SUMIF(Stories!$D$2:D$200,B8,Stories!$J$2:J$200)=0,IF(B8="ML1",17,0),SUMIF(Stories!$D$2:D$200,B8,Stories!$J$2:J$200))</f>
        <v>0</v>
      </c>
    </row>
    <row r="9" customFormat="false" ht="23.25" hidden="false" customHeight="true" outlineLevel="0" collapsed="false">
      <c r="A9" s="5" t="n">
        <v>8</v>
      </c>
      <c r="B9" s="11" t="s">
        <v>85</v>
      </c>
      <c r="C9" s="5" t="s">
        <v>45</v>
      </c>
      <c r="D9" s="12" t="s">
        <v>86</v>
      </c>
      <c r="E9" s="12" t="s">
        <v>87</v>
      </c>
      <c r="F9" s="13"/>
      <c r="G9" s="13"/>
      <c r="H9" s="13"/>
      <c r="I9" s="5"/>
      <c r="J9" s="6" t="n">
        <f aca="false">IFERROR(AVERAGEIF(Epics!$B$2:B$100,B9,Epics!$J$2:J$100),0)</f>
        <v>0</v>
      </c>
      <c r="K9" s="5" t="str">
        <f aca="false">IF(COUNTIFS(Epics!$B$2:B$100,B9,Epics!$K$2:K$100,"*Blocked*")&gt;0,"🚫 Blocked",IF(J9=1,"✅ Completed",IF(J9&gt;0,"🔄 In Progress","⏳ Planned")))</f>
        <v>⏳ Planned</v>
      </c>
      <c r="L9" s="5" t="n">
        <f aca="false">IF(SUMIF(Stories!$D$2:D$200,B9,Stories!$J$2:J$200)=0,IF(B9="ML1",17,0),SUMIF(Stories!$D$2:D$200,B9,Stories!$J$2:J$200))</f>
        <v>0</v>
      </c>
    </row>
    <row r="10" customFormat="false" ht="34.5" hidden="false" customHeight="true" outlineLevel="0" collapsed="false">
      <c r="A10" s="5" t="n">
        <v>9</v>
      </c>
      <c r="B10" s="11" t="s">
        <v>88</v>
      </c>
      <c r="C10" s="5" t="s">
        <v>45</v>
      </c>
      <c r="D10" s="12" t="s">
        <v>89</v>
      </c>
      <c r="E10" s="12" t="s">
        <v>90</v>
      </c>
      <c r="F10" s="13"/>
      <c r="G10" s="13"/>
      <c r="H10" s="13"/>
      <c r="I10" s="5"/>
      <c r="J10" s="6" t="n">
        <f aca="false">IFERROR(AVERAGEIF(Epics!$B$2:B$100,B10,Epics!$J$2:J$100),0)</f>
        <v>0</v>
      </c>
      <c r="K10" s="5" t="str">
        <f aca="false">IF(COUNTIFS(Epics!$B$2:B$100,B10,Epics!$K$2:K$100,"*Blocked*")&gt;0,"🚫 Blocked",IF(J10=1,"✅ Completed",IF(J10&gt;0,"🔄 In Progress","⏳ Planned")))</f>
        <v>⏳ Planned</v>
      </c>
      <c r="L10" s="5" t="n">
        <f aca="false">IF(SUMIF(Stories!$D$2:D$200,B10,Stories!$J$2:J$200)=0,IF(B10="ML1",17,0),SUMIF(Stories!$D$2:D$200,B10,Stories!$J$2:J$200))</f>
        <v>0</v>
      </c>
    </row>
    <row r="11" customFormat="false" ht="34.5" hidden="false" customHeight="true" outlineLevel="0" collapsed="false">
      <c r="A11" s="5" t="n">
        <v>10</v>
      </c>
      <c r="B11" s="11" t="s">
        <v>91</v>
      </c>
      <c r="C11" s="5" t="s">
        <v>45</v>
      </c>
      <c r="D11" s="12" t="s">
        <v>92</v>
      </c>
      <c r="E11" s="12" t="s">
        <v>93</v>
      </c>
      <c r="F11" s="13"/>
      <c r="G11" s="13"/>
      <c r="H11" s="13"/>
      <c r="I11" s="5"/>
      <c r="J11" s="6" t="n">
        <f aca="false">IFERROR(AVERAGEIF(Epics!$B$2:B$100,B11,Epics!$J$2:J$100),0)</f>
        <v>0</v>
      </c>
      <c r="K11" s="5" t="str">
        <f aca="false">IF(COUNTIFS(Epics!$B$2:B$100,B11,Epics!$K$2:K$100,"*Blocked*")&gt;0,"🚫 Blocked",IF(J11=1,"✅ Completed",IF(J11&gt;0,"🔄 In Progress","⏳ Planned")))</f>
        <v>⏳ Planned</v>
      </c>
      <c r="L11" s="5" t="n">
        <f aca="false">IF(SUMIF(Stories!$D$2:D$200,B11,Stories!$J$2:J$200)=0,IF(B11="ML1",17,0),SUMIF(Stories!$D$2:D$200,B11,Stories!$J$2:J$200))</f>
        <v>0</v>
      </c>
    </row>
    <row r="12" customFormat="false" ht="23.25" hidden="false" customHeight="true" outlineLevel="0" collapsed="false">
      <c r="A12" s="5" t="n">
        <v>11</v>
      </c>
      <c r="B12" s="11" t="s">
        <v>94</v>
      </c>
      <c r="C12" s="5" t="s">
        <v>45</v>
      </c>
      <c r="D12" s="12" t="s">
        <v>95</v>
      </c>
      <c r="E12" s="12" t="s">
        <v>96</v>
      </c>
      <c r="F12" s="13"/>
      <c r="G12" s="13"/>
      <c r="H12" s="13"/>
      <c r="I12" s="5"/>
      <c r="J12" s="6" t="n">
        <f aca="false">IFERROR(AVERAGEIF(Epics!$B$2:B$100,B12,Epics!$J$2:J$100),0)</f>
        <v>0</v>
      </c>
      <c r="K12" s="5" t="str">
        <f aca="false">IF(COUNTIFS(Epics!$B$2:B$100,B12,Epics!$K$2:K$100,"*Blocked*")&gt;0,"🚫 Blocked",IF(J12=1,"✅ Completed",IF(J12&gt;0,"🔄 In Progress","⏳ Planned")))</f>
        <v>⏳ Planned</v>
      </c>
      <c r="L12" s="5" t="n">
        <f aca="false">IF(SUMIF(Stories!$D$2:D$200,B12,Stories!$J$2:J$200)=0,IF(B12="ML1",17,0),SUMIF(Stories!$D$2:D$200,B12,Stories!$J$2:J$200))</f>
        <v>0</v>
      </c>
    </row>
    <row r="13" customFormat="false" ht="23.25" hidden="false" customHeight="true" outlineLevel="0" collapsed="false">
      <c r="A13" s="5" t="n">
        <v>12</v>
      </c>
      <c r="B13" s="11" t="s">
        <v>97</v>
      </c>
      <c r="C13" s="5" t="s">
        <v>45</v>
      </c>
      <c r="D13" s="12" t="s">
        <v>98</v>
      </c>
      <c r="E13" s="12" t="s">
        <v>99</v>
      </c>
      <c r="F13" s="13"/>
      <c r="G13" s="13"/>
      <c r="H13" s="13"/>
      <c r="I13" s="5"/>
      <c r="J13" s="6" t="n">
        <f aca="false">IFERROR(AVERAGEIF(Epics!$B$2:B$100,B13,Epics!$J$2:J$100),0)</f>
        <v>0</v>
      </c>
      <c r="K13" s="5" t="str">
        <f aca="false">IF(COUNTIFS(Epics!$B$2:B$100,B13,Epics!$K$2:K$100,"*Blocked*")&gt;0,"🚫 Blocked",IF(J13=1,"✅ Completed",IF(J13&gt;0,"🔄 In Progress","⏳ Planned")))</f>
        <v>⏳ Planned</v>
      </c>
      <c r="L13" s="5" t="n">
        <f aca="false">IF(SUMIF(Stories!$D$2:D$200,B13,Stories!$J$2:J$200)=0,IF(B13="ML1",17,0),SUMIF(Stories!$D$2:D$200,B13,Stories!$J$2:J$200))</f>
        <v>0</v>
      </c>
    </row>
    <row r="14" customFormat="false" ht="34.5" hidden="false" customHeight="true" outlineLevel="0" collapsed="false">
      <c r="A14" s="5" t="n">
        <v>13</v>
      </c>
      <c r="B14" s="11" t="s">
        <v>100</v>
      </c>
      <c r="C14" s="5" t="s">
        <v>45</v>
      </c>
      <c r="D14" s="12" t="s">
        <v>101</v>
      </c>
      <c r="E14" s="12" t="s">
        <v>102</v>
      </c>
      <c r="F14" s="13"/>
      <c r="G14" s="13"/>
      <c r="H14" s="13"/>
      <c r="I14" s="5"/>
      <c r="J14" s="6" t="n">
        <f aca="false">IFERROR(AVERAGEIF(Epics!$B$2:B$100,B14,Epics!$J$2:J$100),0)</f>
        <v>0</v>
      </c>
      <c r="K14" s="5" t="str">
        <f aca="false">IF(COUNTIFS(Epics!$B$2:B$100,B14,Epics!$K$2:K$100,"*Blocked*")&gt;0,"🚫 Blocked",IF(J14=1,"✅ Completed",IF(J14&gt;0,"🔄 In Progress","⏳ Planned")))</f>
        <v>⏳ Planned</v>
      </c>
      <c r="L14" s="5" t="n">
        <f aca="false">IF(SUMIF(Stories!$D$2:D$200,B14,Stories!$J$2:J$200)=0,IF(B14="ML1",17,0),SUMIF(Stories!$D$2:D$200,B14,Stories!$J$2:J$200))</f>
        <v>0</v>
      </c>
    </row>
    <row r="15" customFormat="false" ht="34.5" hidden="false" customHeight="true" outlineLevel="0" collapsed="false">
      <c r="A15" s="5" t="n">
        <v>14</v>
      </c>
      <c r="B15" s="11" t="s">
        <v>103</v>
      </c>
      <c r="C15" s="5" t="s">
        <v>45</v>
      </c>
      <c r="D15" s="12" t="s">
        <v>104</v>
      </c>
      <c r="E15" s="12" t="s">
        <v>105</v>
      </c>
      <c r="F15" s="13"/>
      <c r="G15" s="13"/>
      <c r="H15" s="13"/>
      <c r="I15" s="5"/>
      <c r="J15" s="6" t="n">
        <f aca="false">IFERROR(AVERAGEIF(Epics!$B$2:B$100,B15,Epics!$J$2:J$100),0)</f>
        <v>0</v>
      </c>
      <c r="K15" s="5" t="str">
        <f aca="false">IF(COUNTIFS(Epics!$B$2:B$100,B15,Epics!$K$2:K$100,"*Blocked*")&gt;0,"🚫 Blocked",IF(J15=1,"✅ Completed",IF(J15&gt;0,"🔄 In Progress","⏳ Planned")))</f>
        <v>⏳ Planned</v>
      </c>
      <c r="L15" s="5" t="n">
        <f aca="false">IF(SUMIF(Stories!$D$2:D$200,B15,Stories!$J$2:J$200)=0,IF(B15="ML1",17,0),SUMIF(Stories!$D$2:D$200,B15,Stories!$J$2:J$200))</f>
        <v>0</v>
      </c>
    </row>
    <row r="16" customFormat="false" ht="23.25" hidden="false" customHeight="true" outlineLevel="0" collapsed="false">
      <c r="A16" s="5" t="n">
        <v>15</v>
      </c>
      <c r="B16" s="11" t="s">
        <v>106</v>
      </c>
      <c r="C16" s="5" t="s">
        <v>45</v>
      </c>
      <c r="D16" s="12" t="s">
        <v>107</v>
      </c>
      <c r="E16" s="12" t="s">
        <v>108</v>
      </c>
      <c r="F16" s="13"/>
      <c r="G16" s="13"/>
      <c r="H16" s="13"/>
      <c r="I16" s="5"/>
      <c r="J16" s="6" t="n">
        <f aca="false">IFERROR(AVERAGEIF(Epics!$B$2:B$100,B16,Epics!$J$2:J$100),0)</f>
        <v>0</v>
      </c>
      <c r="K16" s="5" t="str">
        <f aca="false">IF(COUNTIFS(Epics!$B$2:B$100,B16,Epics!$K$2:K$100,"*Blocked*")&gt;0,"🚫 Blocked",IF(J16=1,"✅ Completed",IF(J16&gt;0,"🔄 In Progress","⏳ Planned")))</f>
        <v>⏳ Planned</v>
      </c>
      <c r="L16" s="5" t="n">
        <f aca="false">IF(SUMIF(Stories!$D$2:D$200,B16,Stories!$J$2:J$200)=0,IF(B16="ML1",17,0),SUMIF(Stories!$D$2:D$200,B16,Stories!$J$2:J$200))</f>
        <v>0</v>
      </c>
    </row>
    <row r="17" customFormat="false" ht="23.25" hidden="false" customHeight="true" outlineLevel="0" collapsed="false">
      <c r="A17" s="5" t="n">
        <v>16</v>
      </c>
      <c r="B17" s="11" t="s">
        <v>109</v>
      </c>
      <c r="C17" s="5" t="s">
        <v>45</v>
      </c>
      <c r="D17" s="12" t="s">
        <v>110</v>
      </c>
      <c r="E17" s="12" t="s">
        <v>111</v>
      </c>
      <c r="F17" s="13"/>
      <c r="G17" s="13"/>
      <c r="H17" s="13"/>
      <c r="I17" s="5"/>
      <c r="J17" s="6" t="n">
        <f aca="false">IFERROR(AVERAGEIF(Epics!$B$2:B$100,B17,Epics!$J$2:J$100),0)</f>
        <v>0</v>
      </c>
      <c r="K17" s="5" t="str">
        <f aca="false">IF(COUNTIFS(Epics!$B$2:B$100,B17,Epics!$K$2:K$100,"*Blocked*")&gt;0,"🚫 Blocked",IF(J17=1,"✅ Completed",IF(J17&gt;0,"🔄 In Progress","⏳ Planned")))</f>
        <v>⏳ Planned</v>
      </c>
      <c r="L17" s="5" t="n">
        <f aca="false">IF(SUMIF(Stories!$D$2:D$200,B17,Stories!$J$2:J$200)=0,IF(B17="ML1",17,0),SUMIF(Stories!$D$2:D$200,B17,Stories!$J$2:J$200))</f>
        <v>0</v>
      </c>
    </row>
    <row r="18" customFormat="false" ht="23.25" hidden="false" customHeight="true" outlineLevel="0" collapsed="false">
      <c r="A18" s="5" t="n">
        <v>17</v>
      </c>
      <c r="B18" s="11" t="s">
        <v>112</v>
      </c>
      <c r="C18" s="5" t="s">
        <v>45</v>
      </c>
      <c r="D18" s="12" t="s">
        <v>113</v>
      </c>
      <c r="E18" s="12" t="s">
        <v>114</v>
      </c>
      <c r="F18" s="13"/>
      <c r="G18" s="13"/>
      <c r="H18" s="13"/>
      <c r="I18" s="5"/>
      <c r="J18" s="6" t="n">
        <f aca="false">IFERROR(AVERAGEIF(Epics!$B$2:B$100,B18,Epics!$J$2:J$100),0)</f>
        <v>0</v>
      </c>
      <c r="K18" s="5" t="str">
        <f aca="false">IF(COUNTIFS(Epics!$B$2:B$100,B18,Epics!$K$2:K$100,"*Blocked*")&gt;0,"🚫 Blocked",IF(J18=1,"✅ Completed",IF(J18&gt;0,"🔄 In Progress","⏳ Planned")))</f>
        <v>⏳ Planned</v>
      </c>
      <c r="L18" s="5" t="n">
        <f aca="false">IF(SUMIF(Stories!$D$2:D$200,B18,Stories!$J$2:J$200)=0,IF(B18="ML1",17,0),SUMIF(Stories!$D$2:D$200,B18,Stories!$J$2:J$200))</f>
        <v>0</v>
      </c>
    </row>
    <row r="19" customFormat="false" ht="23.25" hidden="false" customHeight="true" outlineLevel="0" collapsed="false">
      <c r="A19" s="5" t="n">
        <v>18</v>
      </c>
      <c r="B19" s="11" t="s">
        <v>115</v>
      </c>
      <c r="C19" s="5" t="s">
        <v>45</v>
      </c>
      <c r="D19" s="12" t="s">
        <v>116</v>
      </c>
      <c r="E19" s="12" t="s">
        <v>117</v>
      </c>
      <c r="F19" s="13"/>
      <c r="G19" s="13"/>
      <c r="H19" s="13"/>
      <c r="I19" s="5"/>
      <c r="J19" s="6" t="n">
        <f aca="false">IFERROR(AVERAGEIF(Epics!$B$2:B$100,B19,Epics!$J$2:J$100),0)</f>
        <v>0</v>
      </c>
      <c r="K19" s="5" t="str">
        <f aca="false">IF(COUNTIFS(Epics!$B$2:B$100,B19,Epics!$K$2:K$100,"*Blocked*")&gt;0,"🚫 Blocked",IF(J19=1,"✅ Completed",IF(J19&gt;0,"🔄 In Progress","⏳ Planned")))</f>
        <v>⏳ Planned</v>
      </c>
      <c r="L19" s="5" t="n">
        <f aca="false">IF(SUMIF(Stories!$D$2:D$200,B19,Stories!$J$2:J$200)=0,IF(B19="ML1",17,0),SUMIF(Stories!$D$2:D$200,B19,Stories!$J$2:J$200))</f>
        <v>0</v>
      </c>
    </row>
    <row r="20" customFormat="false" ht="34.5" hidden="false" customHeight="true" outlineLevel="0" collapsed="false">
      <c r="A20" s="5" t="n">
        <v>19</v>
      </c>
      <c r="B20" s="11" t="s">
        <v>118</v>
      </c>
      <c r="C20" s="5" t="s">
        <v>45</v>
      </c>
      <c r="D20" s="12" t="s">
        <v>119</v>
      </c>
      <c r="E20" s="12" t="s">
        <v>120</v>
      </c>
      <c r="F20" s="13"/>
      <c r="G20" s="13"/>
      <c r="H20" s="13"/>
      <c r="I20" s="5"/>
      <c r="J20" s="6" t="n">
        <f aca="false">IFERROR(AVERAGEIF(Epics!$B$2:B$100,B20,Epics!$J$2:J$100),0)</f>
        <v>0</v>
      </c>
      <c r="K20" s="5" t="str">
        <f aca="false">IF(COUNTIFS(Epics!$B$2:B$100,B20,Epics!$K$2:K$100,"*Blocked*")&gt;0,"🚫 Blocked",IF(J20=1,"✅ Completed",IF(J20&gt;0,"🔄 In Progress","⏳ Planned")))</f>
        <v>⏳ Planned</v>
      </c>
      <c r="L20" s="5" t="n">
        <f aca="false">IF(SUMIF(Stories!$D$2:D$200,B20,Stories!$J$2:J$200)=0,IF(B20="ML1",17,0),SUMIF(Stories!$D$2:D$200,B20,Stories!$J$2:J$200))</f>
        <v>0</v>
      </c>
    </row>
    <row r="21" customFormat="false" ht="34.5" hidden="false" customHeight="true" outlineLevel="0" collapsed="false">
      <c r="A21" s="5" t="n">
        <v>20</v>
      </c>
      <c r="B21" s="11" t="s">
        <v>121</v>
      </c>
      <c r="C21" s="5" t="s">
        <v>49</v>
      </c>
      <c r="D21" s="12" t="s">
        <v>122</v>
      </c>
      <c r="E21" s="12" t="s">
        <v>123</v>
      </c>
      <c r="F21" s="13"/>
      <c r="G21" s="13"/>
      <c r="H21" s="13"/>
      <c r="I21" s="5"/>
      <c r="J21" s="6" t="n">
        <f aca="false">IFERROR(AVERAGEIF(Epics!$B$2:B$100,B21,Epics!$J$2:J$100),0)</f>
        <v>0</v>
      </c>
      <c r="K21" s="5" t="str">
        <f aca="false">IF(COUNTIFS(Epics!$B$2:B$100,B21,Epics!$K$2:K$100,"*Blocked*")&gt;0,"🚫 Blocked",IF(J21=1,"✅ Completed",IF(J21&gt;0,"🔄 In Progress","⏳ Planned")))</f>
        <v>⏳ Planned</v>
      </c>
      <c r="L21" s="5" t="n">
        <f aca="false">IF(SUMIF(Stories!$D$2:D$200,B21,Stories!$J$2:J$200)=0,IF(B21="ML1",17,0),SUMIF(Stories!$D$2:D$200,B21,Stories!$J$2:J$200))</f>
        <v>0</v>
      </c>
    </row>
    <row r="22" customFormat="false" ht="34.5" hidden="false" customHeight="true" outlineLevel="0" collapsed="false">
      <c r="A22" s="5" t="n">
        <v>21</v>
      </c>
      <c r="B22" s="11" t="s">
        <v>124</v>
      </c>
      <c r="C22" s="5" t="s">
        <v>49</v>
      </c>
      <c r="D22" s="12" t="s">
        <v>125</v>
      </c>
      <c r="E22" s="12" t="s">
        <v>126</v>
      </c>
      <c r="F22" s="13"/>
      <c r="G22" s="13"/>
      <c r="H22" s="13"/>
      <c r="I22" s="5"/>
      <c r="J22" s="6" t="n">
        <f aca="false">IFERROR(AVERAGEIF(Epics!$B$2:B$100,B22,Epics!$J$2:J$100),0)</f>
        <v>0</v>
      </c>
      <c r="K22" s="5" t="str">
        <f aca="false">IF(COUNTIFS(Epics!$B$2:B$100,B22,Epics!$K$2:K$100,"*Blocked*")&gt;0,"🚫 Blocked",IF(J22=1,"✅ Completed",IF(J22&gt;0,"🔄 In Progress","⏳ Planned")))</f>
        <v>⏳ Planned</v>
      </c>
      <c r="L22" s="5" t="n">
        <f aca="false">IF(SUMIF(Stories!$D$2:D$200,B22,Stories!$J$2:J$200)=0,IF(B22="ML1",17,0),SUMIF(Stories!$D$2:D$200,B22,Stories!$J$2:J$200))</f>
        <v>0</v>
      </c>
    </row>
    <row r="23" customFormat="false" ht="34.5" hidden="false" customHeight="true" outlineLevel="0" collapsed="false">
      <c r="A23" s="5" t="n">
        <v>22</v>
      </c>
      <c r="B23" s="11" t="s">
        <v>127</v>
      </c>
      <c r="C23" s="5" t="s">
        <v>49</v>
      </c>
      <c r="D23" s="12" t="s">
        <v>128</v>
      </c>
      <c r="E23" s="12" t="s">
        <v>129</v>
      </c>
      <c r="F23" s="13"/>
      <c r="G23" s="13"/>
      <c r="H23" s="13"/>
      <c r="I23" s="5"/>
      <c r="J23" s="6" t="n">
        <f aca="false">IFERROR(AVERAGEIF(Epics!$B$2:B$100,B23,Epics!$J$2:J$100),0)</f>
        <v>0</v>
      </c>
      <c r="K23" s="5" t="str">
        <f aca="false">IF(COUNTIFS(Epics!$B$2:B$100,B23,Epics!$K$2:K$100,"*Blocked*")&gt;0,"🚫 Blocked",IF(J23=1,"✅ Completed",IF(J23&gt;0,"🔄 In Progress","⏳ Planned")))</f>
        <v>⏳ Planned</v>
      </c>
      <c r="L23" s="5" t="n">
        <f aca="false">IF(SUMIF(Stories!$D$2:D$200,B23,Stories!$J$2:J$200)=0,IF(B23="ML1",17,0),SUMIF(Stories!$D$2:D$200,B23,Stories!$J$2:J$200))</f>
        <v>0</v>
      </c>
    </row>
    <row r="24" customFormat="false" ht="23.25" hidden="false" customHeight="true" outlineLevel="0" collapsed="false">
      <c r="A24" s="5" t="n">
        <v>23</v>
      </c>
      <c r="B24" s="11" t="s">
        <v>130</v>
      </c>
      <c r="C24" s="5" t="s">
        <v>49</v>
      </c>
      <c r="D24" s="12" t="s">
        <v>131</v>
      </c>
      <c r="E24" s="12" t="s">
        <v>132</v>
      </c>
      <c r="F24" s="13"/>
      <c r="G24" s="13"/>
      <c r="H24" s="13"/>
      <c r="I24" s="5"/>
      <c r="J24" s="6" t="n">
        <f aca="false">IFERROR(AVERAGEIF(Epics!$B$2:B$100,B24,Epics!$J$2:J$100),0)</f>
        <v>0</v>
      </c>
      <c r="K24" s="5" t="str">
        <f aca="false">IF(COUNTIFS(Epics!$B$2:B$100,B24,Epics!$K$2:K$100,"*Blocked*")&gt;0,"🚫 Blocked",IF(J24=1,"✅ Completed",IF(J24&gt;0,"🔄 In Progress","⏳ Planned")))</f>
        <v>⏳ Planned</v>
      </c>
      <c r="L24" s="5" t="n">
        <f aca="false">IF(SUMIF(Stories!$D$2:D$200,B24,Stories!$J$2:J$200)=0,IF(B24="ML1",17,0),SUMIF(Stories!$D$2:D$200,B24,Stories!$J$2:J$200))</f>
        <v>0</v>
      </c>
    </row>
    <row r="25" customFormat="false" ht="34.5" hidden="false" customHeight="true" outlineLevel="0" collapsed="false">
      <c r="A25" s="5" t="n">
        <v>24</v>
      </c>
      <c r="B25" s="11" t="s">
        <v>133</v>
      </c>
      <c r="C25" s="5" t="s">
        <v>52</v>
      </c>
      <c r="D25" s="12" t="s">
        <v>134</v>
      </c>
      <c r="E25" s="12" t="s">
        <v>135</v>
      </c>
      <c r="F25" s="13"/>
      <c r="G25" s="13"/>
      <c r="H25" s="13"/>
      <c r="I25" s="5"/>
      <c r="J25" s="6" t="n">
        <f aca="false">IFERROR(AVERAGEIF(Epics!$B$2:B$100,B25,Epics!$J$2:J$100),0)</f>
        <v>0</v>
      </c>
      <c r="K25" s="5" t="str">
        <f aca="false">IF(COUNTIFS(Epics!$B$2:B$100,B25,Epics!$K$2:K$100,"*Blocked*")&gt;0,"🚫 Blocked",IF(J25=1,"✅ Completed",IF(J25&gt;0,"🔄 In Progress","⏳ Planned")))</f>
        <v>⏳ Planned</v>
      </c>
      <c r="L25" s="5" t="n">
        <f aca="false">IF(SUMIF(Stories!$D$2:D$200,B25,Stories!$J$2:J$200)=0,IF(B25="ML1",17,0),SUMIF(Stories!$D$2:D$200,B25,Stories!$J$2:J$200))</f>
        <v>0</v>
      </c>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{89A44A3F-CFBF-4EDF-833A-D121F09F241B}</x14:id>
        </ext>
      </extLst>
    </cfRule>
  </conditionalFormatting>
  <hyperlinks>
    <hyperlink ref="B2" r:id="rId2" location="'Epics'!A1" display="ML1"/>
    <hyperlink ref="B3" r:id="rId3" location="'Epics'!A1" display="ML2"/>
    <hyperlink ref="B4" r:id="rId4" location="'Epics'!A1" display="ML3"/>
    <hyperlink ref="B5" r:id="rId5" location="'Epics'!A1" display="ML4"/>
    <hyperlink ref="B6" r:id="rId6" location="'Epics'!A1" display="ML5"/>
    <hyperlink ref="B7" r:id="rId7" location="'Epics'!A1" display="ML6"/>
    <hyperlink ref="B8" r:id="rId8" location="'Epics'!A1" display="ML7"/>
    <hyperlink ref="B9" r:id="rId9" location="'Epics'!A1" display="ML8"/>
    <hyperlink ref="B10" r:id="rId10" location="'Epics'!A1" display="ML9"/>
    <hyperlink ref="B11" r:id="rId11" location="'Epics'!A1" display="ML10"/>
    <hyperlink ref="B12" r:id="rId12" location="'Epics'!A1" display="ML11"/>
    <hyperlink ref="B13" r:id="rId13" location="'Epics'!A1" display="ML12"/>
    <hyperlink ref="B14" r:id="rId14" location="'Epics'!A1" display="ML13"/>
    <hyperlink ref="B15" r:id="rId15" location="'Epics'!A1" display="ML14"/>
    <hyperlink ref="B16" r:id="rId16" location="'Epics'!A1" display="ML15"/>
    <hyperlink ref="B17" r:id="rId17" location="'Epics'!A1" display="ML16"/>
    <hyperlink ref="B18" r:id="rId18" location="'Epics'!A1" display="ML17"/>
    <hyperlink ref="B19" r:id="rId19" location="'Epics'!A1" display="ML18"/>
    <hyperlink ref="B20" r:id="rId20" location="'Epics'!A1" display="ML19"/>
    <hyperlink ref="B21" r:id="rId21" location="'Epics'!A1" display="ML20"/>
    <hyperlink ref="B22" r:id="rId22" location="'Epics'!A1" display="ML21"/>
    <hyperlink ref="B23" r:id="rId23" location="'Epics'!A1" display="ML22"/>
    <hyperlink ref="B24" r:id="rId24" location="'Epics'!A1" display="ML23"/>
    <hyperlink ref="B25" r:id="rId25" location="'Epics'!A1" display="ML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89A44A3F-CFBF-4EDF-833A-D121F09F241B}">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C1" colorId="64" zoomScale="150" zoomScaleNormal="150" zoomScalePageLayoutView="100" workbookViewId="0">
      <pane xSplit="0" ySplit="1" topLeftCell="A2" activePane="bottomLeft" state="frozen"/>
      <selection pane="topLeft" activeCell="C1" activeCellId="0" sqref="C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46"/>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30" hidden="false" customHeight="true" outlineLevel="0" collapsed="false">
      <c r="A1" s="4" t="s">
        <v>55</v>
      </c>
      <c r="B1" s="4" t="s">
        <v>136</v>
      </c>
      <c r="C1" s="4" t="s">
        <v>137</v>
      </c>
      <c r="D1" s="4" t="s">
        <v>138</v>
      </c>
      <c r="E1" s="4" t="s">
        <v>39</v>
      </c>
      <c r="F1" s="4" t="s">
        <v>61</v>
      </c>
      <c r="G1" s="4" t="s">
        <v>58</v>
      </c>
      <c r="H1" s="4" t="s">
        <v>59</v>
      </c>
      <c r="I1" s="4" t="s">
        <v>60</v>
      </c>
      <c r="J1" s="4" t="s">
        <v>18</v>
      </c>
      <c r="K1" s="4" t="s">
        <v>13</v>
      </c>
    </row>
    <row r="2" customFormat="false" ht="23.25" hidden="false" customHeight="true" outlineLevel="0" collapsed="false">
      <c r="A2" s="0" t="n">
        <v>1</v>
      </c>
      <c r="B2" s="0" t="s">
        <v>63</v>
      </c>
      <c r="C2" s="0" t="s">
        <v>139</v>
      </c>
      <c r="D2" s="0" t="s">
        <v>64</v>
      </c>
      <c r="E2" s="0" t="s">
        <v>140</v>
      </c>
      <c r="J2" s="0" t="n">
        <f aca="false">IFERROR(AVERAGEIF(Stories!$C$2:C$200,C2,Stories!$O$2:O$200),0)/100</f>
        <v>1</v>
      </c>
      <c r="K2" s="10" t="str">
        <f aca="false">IF(COUNTIFS(Stories!$C$2:C$200,C2,Stories!$L$2:L$200,"*Blocked*")&gt;0,"🚫 Blocked",IF(J2=1,"✅ Completed",IF(J2&gt;0,"🔄 In Progress","⏳ Planned")))</f>
        <v>✅ Completed</v>
      </c>
    </row>
    <row r="3" customFormat="false" ht="15" hidden="false" customHeight="true" outlineLevel="0" collapsed="false">
      <c r="A3" s="0" t="n">
        <v>2</v>
      </c>
      <c r="B3" s="0" t="s">
        <v>67</v>
      </c>
      <c r="C3" s="0" t="s">
        <v>141</v>
      </c>
      <c r="D3" s="0" t="s">
        <v>142</v>
      </c>
      <c r="E3" s="0" t="s">
        <v>143</v>
      </c>
      <c r="J3" s="0" t="n">
        <f aca="false">IFERROR(AVERAGEIF(Stories!$C$2:C$200,C3,Stories!$O$2:O$200),0)/100</f>
        <v>0</v>
      </c>
      <c r="K3" s="10" t="str">
        <f aca="false">IF(COUNTIFS(Stories!$C$2:C$200,C3,Stories!$L$2:L$200,"*Blocked*")&gt;0,"🚫 Blocked",IF(J3=1,"✅ Completed",IF(J3&gt;0,"🔄 In Progress","⏳ Planned")))</f>
        <v>⏳ Planned</v>
      </c>
    </row>
    <row r="4" customFormat="false" ht="23.25" hidden="false" customHeight="true" outlineLevel="0" collapsed="false">
      <c r="A4" s="0" t="n">
        <v>3</v>
      </c>
      <c r="B4" s="0" t="s">
        <v>67</v>
      </c>
      <c r="C4" s="0" t="s">
        <v>144</v>
      </c>
      <c r="D4" s="0" t="s">
        <v>145</v>
      </c>
      <c r="E4" s="0" t="s">
        <v>146</v>
      </c>
      <c r="J4" s="0" t="n">
        <f aca="false">IFERROR(AVERAGEIF(Stories!$C$2:C$200,C4,Stories!$O$2:O$200),0)/100</f>
        <v>0</v>
      </c>
      <c r="K4" s="10" t="str">
        <f aca="false">IF(COUNTIFS(Stories!$C$2:C$200,C4,Stories!$L$2:L$200,"*Blocked*")&gt;0,"🚫 Blocked",IF(J4=1,"✅ Completed",IF(J4&gt;0,"🔄 In Progress","⏳ Planned")))</f>
        <v>⏳ Planned</v>
      </c>
    </row>
    <row r="5" customFormat="false" ht="23.25" hidden="false" customHeight="true" outlineLevel="0" collapsed="false">
      <c r="A5" s="0" t="n">
        <v>4</v>
      </c>
      <c r="B5" s="0" t="s">
        <v>67</v>
      </c>
      <c r="C5" s="0" t="s">
        <v>147</v>
      </c>
      <c r="D5" s="0" t="s">
        <v>148</v>
      </c>
      <c r="E5" s="0" t="s">
        <v>149</v>
      </c>
      <c r="J5" s="0" t="n">
        <f aca="false">IFERROR(AVERAGEIF(Stories!$C$2:C$200,C5,Stories!$O$2:O$200),0)/100</f>
        <v>0</v>
      </c>
      <c r="K5" s="10" t="str">
        <f aca="false">IF(COUNTIFS(Stories!$C$2:C$200,C5,Stories!$L$2:L$200,"*Blocked*")&gt;0,"🚫 Blocked",IF(J5=1,"✅ Completed",IF(J5&gt;0,"🔄 In Progress","⏳ Planned")))</f>
        <v>⏳ Planned</v>
      </c>
    </row>
    <row r="6" customFormat="false" ht="15" hidden="false" customHeight="true" outlineLevel="0" collapsed="false">
      <c r="A6" s="0" t="n">
        <v>5</v>
      </c>
      <c r="B6" s="0" t="s">
        <v>67</v>
      </c>
      <c r="C6" s="0" t="s">
        <v>150</v>
      </c>
      <c r="D6" s="0" t="s">
        <v>151</v>
      </c>
      <c r="E6" s="0" t="s">
        <v>152</v>
      </c>
      <c r="J6" s="0" t="n">
        <f aca="false">IFERROR(AVERAGEIF(Stories!$C$2:C$200,C6,Stories!$O$2:O$200),0)/100</f>
        <v>0</v>
      </c>
      <c r="K6" s="10" t="str">
        <f aca="false">IF(COUNTIFS(Stories!$C$2:C$200,C6,Stories!$L$2:L$200,"*Blocked*")&gt;0,"🚫 Blocked",IF(J6=1,"✅ Completed",IF(J6&gt;0,"🔄 In Progress","⏳ Planned")))</f>
        <v>⏳ Planned</v>
      </c>
    </row>
    <row r="7" customFormat="false" ht="23.25" hidden="false" customHeight="true" outlineLevel="0" collapsed="false">
      <c r="A7" s="0" t="n">
        <v>6</v>
      </c>
      <c r="B7" s="0" t="s">
        <v>70</v>
      </c>
      <c r="C7" s="0" t="s">
        <v>153</v>
      </c>
      <c r="D7" s="0" t="s">
        <v>154</v>
      </c>
      <c r="E7" s="0" t="s">
        <v>155</v>
      </c>
      <c r="J7" s="0" t="n">
        <f aca="false">IFERROR(AVERAGEIF(Stories!$C$2:C$200,C7,Stories!$O$2:O$200),0)/100</f>
        <v>0</v>
      </c>
      <c r="K7" s="10" t="str">
        <f aca="false">IF(COUNTIFS(Stories!$C$2:C$200,C7,Stories!$L$2:L$200,"*Blocked*")&gt;0,"🚫 Blocked",IF(J7=1,"✅ Completed",IF(J7&gt;0,"🔄 In Progress","⏳ Planned")))</f>
        <v>⏳ Planned</v>
      </c>
    </row>
    <row r="8" customFormat="false" ht="15" hidden="false" customHeight="true" outlineLevel="0" collapsed="false">
      <c r="A8" s="0" t="n">
        <v>7</v>
      </c>
      <c r="B8" s="0" t="s">
        <v>73</v>
      </c>
      <c r="C8" s="0" t="s">
        <v>156</v>
      </c>
      <c r="D8" s="0" t="s">
        <v>157</v>
      </c>
      <c r="E8" s="0" t="s">
        <v>158</v>
      </c>
      <c r="J8" s="0" t="n">
        <f aca="false">IFERROR(AVERAGEIF(Stories!$C$2:C$200,C8,Stories!$O$2:O$200),0)/100</f>
        <v>0</v>
      </c>
      <c r="K8" s="10" t="str">
        <f aca="false">IF(COUNTIFS(Stories!$C$2:C$200,C8,Stories!$L$2:L$200,"*Blocked*")&gt;0,"🚫 Blocked",IF(J8=1,"✅ Completed",IF(J8&gt;0,"🔄 In Progress","⏳ Planned")))</f>
        <v>⏳ Planned</v>
      </c>
    </row>
    <row r="9" customFormat="false" ht="15" hidden="false" customHeight="true" outlineLevel="0" collapsed="false">
      <c r="A9" s="0" t="n">
        <v>8</v>
      </c>
      <c r="B9" s="0" t="s">
        <v>76</v>
      </c>
      <c r="C9" s="0" t="s">
        <v>159</v>
      </c>
      <c r="D9" s="0" t="s">
        <v>160</v>
      </c>
      <c r="E9" s="0" t="s">
        <v>161</v>
      </c>
      <c r="J9" s="0" t="n">
        <f aca="false">IFERROR(AVERAGEIF(Stories!$C$2:C$200,C9,Stories!$O$2:O$200),0)/100</f>
        <v>0</v>
      </c>
      <c r="K9" s="10" t="str">
        <f aca="false">IF(COUNTIFS(Stories!$C$2:C$200,C9,Stories!$L$2:L$200,"*Blocked*")&gt;0,"🚫 Blocked",IF(J9=1,"✅ Completed",IF(J9&gt;0,"🔄 In Progress","⏳ Planned")))</f>
        <v>⏳ Planned</v>
      </c>
    </row>
    <row r="10" customFormat="false" ht="23.25" hidden="false" customHeight="true" outlineLevel="0" collapsed="false">
      <c r="A10" s="0" t="n">
        <v>9</v>
      </c>
      <c r="B10" s="0" t="s">
        <v>79</v>
      </c>
      <c r="C10" s="0" t="s">
        <v>162</v>
      </c>
      <c r="D10" s="0" t="s">
        <v>163</v>
      </c>
      <c r="E10" s="0" t="s">
        <v>164</v>
      </c>
      <c r="J10" s="0" t="n">
        <f aca="false">IFERROR(AVERAGEIF(Stories!$C$2:C$200,C10,Stories!$O$2:O$200),0)/100</f>
        <v>0</v>
      </c>
      <c r="K10" s="10" t="str">
        <f aca="false">IF(COUNTIFS(Stories!$C$2:C$200,C10,Stories!$L$2:L$200,"*Blocked*")&gt;0,"🚫 Blocked",IF(J10=1,"✅ Completed",IF(J10&gt;0,"🔄 In Progress","⏳ Planned")))</f>
        <v>⏳ Planned</v>
      </c>
    </row>
    <row r="11" customFormat="false" ht="15" hidden="false" customHeight="true" outlineLevel="0" collapsed="false">
      <c r="A11" s="0" t="n">
        <v>10</v>
      </c>
      <c r="B11" s="0" t="s">
        <v>82</v>
      </c>
      <c r="C11" s="0" t="s">
        <v>165</v>
      </c>
      <c r="D11" s="0" t="s">
        <v>166</v>
      </c>
      <c r="E11" s="0" t="s">
        <v>167</v>
      </c>
      <c r="J11" s="0" t="n">
        <f aca="false">IFERROR(AVERAGEIF(Stories!$C$2:C$200,C11,Stories!$O$2:O$200),0)/100</f>
        <v>0</v>
      </c>
      <c r="K11" s="10" t="str">
        <f aca="false">IF(COUNTIFS(Stories!$C$2:C$200,C11,Stories!$L$2:L$200,"*Blocked*")&gt;0,"🚫 Blocked",IF(J11=1,"✅ Completed",IF(J11&gt;0,"🔄 In Progress","⏳ Planned")))</f>
        <v>⏳ Planned</v>
      </c>
    </row>
    <row r="12" customFormat="false" ht="15" hidden="false" customHeight="true" outlineLevel="0" collapsed="false">
      <c r="A12" s="0" t="n">
        <v>11</v>
      </c>
      <c r="B12" s="0" t="s">
        <v>82</v>
      </c>
      <c r="C12" s="0" t="s">
        <v>168</v>
      </c>
      <c r="D12" s="0" t="s">
        <v>169</v>
      </c>
      <c r="E12" s="0" t="s">
        <v>170</v>
      </c>
      <c r="J12" s="0" t="n">
        <f aca="false">IFERROR(AVERAGEIF(Stories!$C$2:C$200,C12,Stories!$O$2:O$200),0)/100</f>
        <v>0</v>
      </c>
      <c r="K12" s="10" t="str">
        <f aca="false">IF(COUNTIFS(Stories!$C$2:C$200,C12,Stories!$L$2:L$200,"*Blocked*")&gt;0,"🚫 Blocked",IF(J12=1,"✅ Completed",IF(J12&gt;0,"🔄 In Progress","⏳ Planned")))</f>
        <v>⏳ Planned</v>
      </c>
    </row>
    <row r="13" customFormat="false" ht="15" hidden="false" customHeight="true" outlineLevel="0" collapsed="false">
      <c r="A13" s="0" t="n">
        <v>12</v>
      </c>
      <c r="B13" s="0" t="s">
        <v>85</v>
      </c>
      <c r="C13" s="0" t="s">
        <v>171</v>
      </c>
      <c r="D13" s="0" t="s">
        <v>172</v>
      </c>
      <c r="E13" s="0" t="s">
        <v>173</v>
      </c>
      <c r="J13" s="0" t="n">
        <f aca="false">IFERROR(AVERAGEIF(Stories!$C$2:C$200,C13,Stories!$O$2:O$200),0)/100</f>
        <v>0</v>
      </c>
      <c r="K13" s="10" t="str">
        <f aca="false">IF(COUNTIFS(Stories!$C$2:C$200,C13,Stories!$L$2:L$200,"*Blocked*")&gt;0,"🚫 Blocked",IF(J13=1,"✅ Completed",IF(J13&gt;0,"🔄 In Progress","⏳ Planned")))</f>
        <v>⏳ Planned</v>
      </c>
    </row>
    <row r="14" customFormat="false" ht="15" hidden="false" customHeight="true" outlineLevel="0" collapsed="false">
      <c r="A14" s="0" t="n">
        <v>13</v>
      </c>
      <c r="B14" s="0" t="s">
        <v>85</v>
      </c>
      <c r="C14" s="0" t="s">
        <v>174</v>
      </c>
      <c r="D14" s="0" t="s">
        <v>175</v>
      </c>
      <c r="E14" s="0" t="s">
        <v>176</v>
      </c>
      <c r="J14" s="0" t="n">
        <f aca="false">IFERROR(AVERAGEIF(Stories!$C$2:C$200,C14,Stories!$O$2:O$200),0)/100</f>
        <v>0</v>
      </c>
      <c r="K14" s="10" t="str">
        <f aca="false">IF(COUNTIFS(Stories!$C$2:C$200,C14,Stories!$L$2:L$200,"*Blocked*")&gt;0,"🚫 Blocked",IF(J14=1,"✅ Completed",IF(J14&gt;0,"🔄 In Progress","⏳ Planned")))</f>
        <v>⏳ Planned</v>
      </c>
    </row>
    <row r="15" customFormat="false" ht="23.25" hidden="false" customHeight="true" outlineLevel="0" collapsed="false">
      <c r="A15" s="0" t="n">
        <v>14</v>
      </c>
      <c r="B15" s="0" t="s">
        <v>88</v>
      </c>
      <c r="C15" s="0" t="s">
        <v>177</v>
      </c>
      <c r="D15" s="0" t="s">
        <v>178</v>
      </c>
      <c r="E15" s="0" t="s">
        <v>179</v>
      </c>
      <c r="J15" s="0" t="n">
        <f aca="false">IFERROR(AVERAGEIF(Stories!$C$2:C$200,C15,Stories!$O$2:O$200),0)/100</f>
        <v>0</v>
      </c>
      <c r="K15" s="10" t="str">
        <f aca="false">IF(COUNTIFS(Stories!$C$2:C$200,C15,Stories!$L$2:L$200,"*Blocked*")&gt;0,"🚫 Blocked",IF(J15=1,"✅ Completed",IF(J15&gt;0,"🔄 In Progress","⏳ Planned")))</f>
        <v>⏳ Planned</v>
      </c>
    </row>
    <row r="16" customFormat="false" ht="15" hidden="false" customHeight="true" outlineLevel="0" collapsed="false">
      <c r="A16" s="0" t="n">
        <v>15</v>
      </c>
      <c r="B16" s="0" t="s">
        <v>91</v>
      </c>
      <c r="C16" s="0" t="s">
        <v>180</v>
      </c>
      <c r="D16" s="0" t="s">
        <v>181</v>
      </c>
      <c r="E16" s="0" t="s">
        <v>182</v>
      </c>
      <c r="J16" s="0" t="n">
        <f aca="false">IFERROR(AVERAGEIF(Stories!$C$2:C$200,C16,Stories!$O$2:O$200),0)/100</f>
        <v>0</v>
      </c>
      <c r="K16" s="10" t="str">
        <f aca="false">IF(COUNTIFS(Stories!$C$2:C$200,C16,Stories!$L$2:L$200,"*Blocked*")&gt;0,"🚫 Blocked",IF(J16=1,"✅ Completed",IF(J16&gt;0,"🔄 In Progress","⏳ Planned")))</f>
        <v>⏳ Planned</v>
      </c>
    </row>
    <row r="17" customFormat="false" ht="15" hidden="false" customHeight="true" outlineLevel="0" collapsed="false">
      <c r="A17" s="0" t="n">
        <v>16</v>
      </c>
      <c r="B17" s="0" t="s">
        <v>94</v>
      </c>
      <c r="C17" s="0" t="s">
        <v>183</v>
      </c>
      <c r="D17" s="0" t="s">
        <v>184</v>
      </c>
      <c r="E17" s="0" t="s">
        <v>185</v>
      </c>
      <c r="J17" s="0" t="n">
        <f aca="false">IFERROR(AVERAGEIF(Stories!$C$2:C$200,C17,Stories!$O$2:O$200),0)/100</f>
        <v>0</v>
      </c>
      <c r="K17" s="10" t="str">
        <f aca="false">IF(COUNTIFS(Stories!$C$2:C$200,C17,Stories!$L$2:L$200,"*Blocked*")&gt;0,"🚫 Blocked",IF(J17=1,"✅ Completed",IF(J17&gt;0,"🔄 In Progress","⏳ Planned")))</f>
        <v>⏳ Planned</v>
      </c>
    </row>
    <row r="18" customFormat="false" ht="15" hidden="false" customHeight="true" outlineLevel="0" collapsed="false">
      <c r="A18" s="0" t="n">
        <v>17</v>
      </c>
      <c r="B18" s="0" t="s">
        <v>97</v>
      </c>
      <c r="C18" s="0" t="s">
        <v>186</v>
      </c>
      <c r="D18" s="0" t="s">
        <v>187</v>
      </c>
      <c r="E18" s="0" t="s">
        <v>188</v>
      </c>
      <c r="J18" s="0" t="n">
        <f aca="false">IFERROR(AVERAGEIF(Stories!$C$2:C$200,C18,Stories!$O$2:O$200),0)/100</f>
        <v>0</v>
      </c>
      <c r="K18" s="10" t="str">
        <f aca="false">IF(COUNTIFS(Stories!$C$2:C$200,C18,Stories!$L$2:L$200,"*Blocked*")&gt;0,"🚫 Blocked",IF(J18=1,"✅ Completed",IF(J18&gt;0,"🔄 In Progress","⏳ Planned")))</f>
        <v>⏳ Planned</v>
      </c>
    </row>
    <row r="19" customFormat="false" ht="15" hidden="false" customHeight="true" outlineLevel="0" collapsed="false">
      <c r="A19" s="0" t="n">
        <v>18</v>
      </c>
      <c r="B19" s="0" t="s">
        <v>97</v>
      </c>
      <c r="C19" s="0" t="s">
        <v>189</v>
      </c>
      <c r="D19" s="0" t="s">
        <v>190</v>
      </c>
      <c r="E19" s="0" t="s">
        <v>191</v>
      </c>
      <c r="J19" s="0" t="n">
        <f aca="false">IFERROR(AVERAGEIF(Stories!$C$2:C$200,C19,Stories!$O$2:O$200),0)/100</f>
        <v>0</v>
      </c>
      <c r="K19" s="10" t="str">
        <f aca="false">IF(COUNTIFS(Stories!$C$2:C$200,C19,Stories!$L$2:L$200,"*Blocked*")&gt;0,"🚫 Blocked",IF(J19=1,"✅ Completed",IF(J19&gt;0,"🔄 In Progress","⏳ Planned")))</f>
        <v>⏳ Planned</v>
      </c>
    </row>
    <row r="20" customFormat="false" ht="15" hidden="false" customHeight="true" outlineLevel="0" collapsed="false">
      <c r="A20" s="0" t="n">
        <v>19</v>
      </c>
      <c r="B20" s="0" t="s">
        <v>97</v>
      </c>
      <c r="C20" s="0" t="s">
        <v>192</v>
      </c>
      <c r="D20" s="0" t="s">
        <v>193</v>
      </c>
      <c r="E20" s="0" t="s">
        <v>194</v>
      </c>
      <c r="J20" s="0" t="n">
        <f aca="false">IFERROR(AVERAGEIF(Stories!$C$2:C$200,C20,Stories!$O$2:O$200),0)/100</f>
        <v>0</v>
      </c>
      <c r="K20" s="10" t="str">
        <f aca="false">IF(COUNTIFS(Stories!$C$2:C$200,C20,Stories!$L$2:L$200,"*Blocked*")&gt;0,"🚫 Blocked",IF(J20=1,"✅ Completed",IF(J20&gt;0,"🔄 In Progress","⏳ Planned")))</f>
        <v>⏳ Planned</v>
      </c>
    </row>
    <row r="21" customFormat="false" ht="23.25" hidden="false" customHeight="true" outlineLevel="0" collapsed="false">
      <c r="A21" s="0" t="n">
        <v>20</v>
      </c>
      <c r="B21" s="0" t="s">
        <v>100</v>
      </c>
      <c r="C21" s="0" t="s">
        <v>195</v>
      </c>
      <c r="D21" s="0" t="s">
        <v>196</v>
      </c>
      <c r="E21" s="0" t="s">
        <v>197</v>
      </c>
      <c r="J21" s="0" t="n">
        <f aca="false">IFERROR(AVERAGEIF(Stories!$C$2:C$200,C21,Stories!$O$2:O$200),0)/100</f>
        <v>0</v>
      </c>
      <c r="K21" s="10" t="str">
        <f aca="false">IF(COUNTIFS(Stories!$C$2:C$200,C21,Stories!$L$2:L$200,"*Blocked*")&gt;0,"🚫 Blocked",IF(J21=1,"✅ Completed",IF(J21&gt;0,"🔄 In Progress","⏳ Planned")))</f>
        <v>⏳ Planned</v>
      </c>
    </row>
    <row r="22" customFormat="false" ht="15" hidden="false" customHeight="true" outlineLevel="0" collapsed="false">
      <c r="A22" s="0" t="n">
        <v>21</v>
      </c>
      <c r="B22" s="0" t="s">
        <v>100</v>
      </c>
      <c r="C22" s="0" t="s">
        <v>198</v>
      </c>
      <c r="D22" s="0" t="s">
        <v>199</v>
      </c>
      <c r="E22" s="0" t="s">
        <v>200</v>
      </c>
      <c r="J22" s="0" t="n">
        <f aca="false">IFERROR(AVERAGEIF(Stories!$C$2:C$200,C22,Stories!$O$2:O$200),0)/100</f>
        <v>0</v>
      </c>
      <c r="K22" s="10" t="str">
        <f aca="false">IF(COUNTIFS(Stories!$C$2:C$200,C22,Stories!$L$2:L$200,"*Blocked*")&gt;0,"🚫 Blocked",IF(J22=1,"✅ Completed",IF(J22&gt;0,"🔄 In Progress","⏳ Planned")))</f>
        <v>⏳ Planned</v>
      </c>
    </row>
    <row r="23" customFormat="false" ht="15" hidden="false" customHeight="true" outlineLevel="0" collapsed="false">
      <c r="A23" s="0" t="n">
        <v>22</v>
      </c>
      <c r="B23" s="0" t="s">
        <v>103</v>
      </c>
      <c r="C23" s="0" t="s">
        <v>201</v>
      </c>
      <c r="D23" s="0" t="s">
        <v>104</v>
      </c>
      <c r="E23" s="0" t="s">
        <v>202</v>
      </c>
      <c r="J23" s="0" t="n">
        <f aca="false">IFERROR(AVERAGEIF(Stories!$C$2:C$200,C23,Stories!$O$2:O$200),0)/100</f>
        <v>0</v>
      </c>
      <c r="K23" s="10" t="str">
        <f aca="false">IF(COUNTIFS(Stories!$C$2:C$200,C23,Stories!$L$2:L$200,"*Blocked*")&gt;0,"🚫 Blocked",IF(J23=1,"✅ Completed",IF(J23&gt;0,"🔄 In Progress","⏳ Planned")))</f>
        <v>⏳ Planned</v>
      </c>
    </row>
    <row r="24" customFormat="false" ht="15" hidden="false" customHeight="true" outlineLevel="0" collapsed="false">
      <c r="A24" s="0" t="n">
        <v>23</v>
      </c>
      <c r="B24" s="0" t="s">
        <v>106</v>
      </c>
      <c r="C24" s="0" t="s">
        <v>203</v>
      </c>
      <c r="D24" s="0" t="s">
        <v>204</v>
      </c>
      <c r="E24" s="0" t="s">
        <v>205</v>
      </c>
      <c r="J24" s="0" t="n">
        <f aca="false">IFERROR(AVERAGEIF(Stories!$C$2:C$200,C24,Stories!$O$2:O$200),0)/100</f>
        <v>0</v>
      </c>
      <c r="K24" s="10" t="str">
        <f aca="false">IF(COUNTIFS(Stories!$C$2:C$200,C24,Stories!$L$2:L$200,"*Blocked*")&gt;0,"🚫 Blocked",IF(J24=1,"✅ Completed",IF(J24&gt;0,"🔄 In Progress","⏳ Planned")))</f>
        <v>⏳ Planned</v>
      </c>
    </row>
    <row r="25" customFormat="false" ht="15" hidden="false" customHeight="true" outlineLevel="0" collapsed="false">
      <c r="A25" s="0" t="n">
        <v>24</v>
      </c>
      <c r="B25" s="0" t="s">
        <v>109</v>
      </c>
      <c r="C25" s="0" t="s">
        <v>206</v>
      </c>
      <c r="D25" s="0" t="s">
        <v>207</v>
      </c>
      <c r="E25" s="0" t="s">
        <v>208</v>
      </c>
      <c r="J25" s="0" t="n">
        <f aca="false">IFERROR(AVERAGEIF(Stories!$C$2:C$200,C25,Stories!$O$2:O$200),0)/100</f>
        <v>0</v>
      </c>
      <c r="K25" s="10" t="str">
        <f aca="false">IF(COUNTIFS(Stories!$C$2:C$200,C25,Stories!$L$2:L$200,"*Blocked*")&gt;0,"🚫 Blocked",IF(J25=1,"✅ Completed",IF(J25&gt;0,"🔄 In Progress","⏳ Planned")))</f>
        <v>⏳ Planned</v>
      </c>
    </row>
    <row r="26" customFormat="false" ht="15" hidden="false" customHeight="true" outlineLevel="0" collapsed="false">
      <c r="A26" s="0" t="n">
        <v>25</v>
      </c>
      <c r="B26" s="0" t="s">
        <v>109</v>
      </c>
      <c r="C26" s="0" t="s">
        <v>209</v>
      </c>
      <c r="D26" s="0" t="s">
        <v>210</v>
      </c>
      <c r="E26" s="0" t="s">
        <v>211</v>
      </c>
      <c r="J26" s="0" t="n">
        <f aca="false">IFERROR(AVERAGEIF(Stories!$C$2:C$200,C26,Stories!$O$2:O$200),0)/100</f>
        <v>0</v>
      </c>
      <c r="K26" s="10" t="str">
        <f aca="false">IF(COUNTIFS(Stories!$C$2:C$200,C26,Stories!$L$2:L$200,"*Blocked*")&gt;0,"🚫 Blocked",IF(J26=1,"✅ Completed",IF(J26&gt;0,"🔄 In Progress","⏳ Planned")))</f>
        <v>⏳ Planned</v>
      </c>
    </row>
    <row r="27" customFormat="false" ht="23.25" hidden="false" customHeight="true" outlineLevel="0" collapsed="false">
      <c r="A27" s="0" t="n">
        <v>26</v>
      </c>
      <c r="B27" s="0" t="s">
        <v>112</v>
      </c>
      <c r="C27" s="0" t="s">
        <v>212</v>
      </c>
      <c r="D27" s="0" t="s">
        <v>213</v>
      </c>
      <c r="E27" s="0" t="s">
        <v>214</v>
      </c>
      <c r="J27" s="0" t="n">
        <f aca="false">IFERROR(AVERAGEIF(Stories!$C$2:C$200,C27,Stories!$O$2:O$200),0)/100</f>
        <v>0</v>
      </c>
      <c r="K27" s="10" t="str">
        <f aca="false">IF(COUNTIFS(Stories!$C$2:C$200,C27,Stories!$L$2:L$200,"*Blocked*")&gt;0,"🚫 Blocked",IF(J27=1,"✅ Completed",IF(J27&gt;0,"🔄 In Progress","⏳ Planned")))</f>
        <v>⏳ Planned</v>
      </c>
    </row>
    <row r="28" customFormat="false" ht="15" hidden="false" customHeight="true" outlineLevel="0" collapsed="false">
      <c r="A28" s="0" t="n">
        <v>27</v>
      </c>
      <c r="B28" s="0" t="s">
        <v>115</v>
      </c>
      <c r="C28" s="0" t="s">
        <v>215</v>
      </c>
      <c r="D28" s="0" t="s">
        <v>216</v>
      </c>
      <c r="E28" s="0" t="s">
        <v>217</v>
      </c>
      <c r="J28" s="0" t="n">
        <f aca="false">IFERROR(AVERAGEIF(Stories!$C$2:C$200,C28,Stories!$O$2:O$200),0)/100</f>
        <v>0</v>
      </c>
      <c r="K28" s="10" t="str">
        <f aca="false">IF(COUNTIFS(Stories!$C$2:C$200,C28,Stories!$L$2:L$200,"*Blocked*")&gt;0,"🚫 Blocked",IF(J28=1,"✅ Completed",IF(J28&gt;0,"🔄 In Progress","⏳ Planned")))</f>
        <v>⏳ Planned</v>
      </c>
    </row>
    <row r="29" customFormat="false" ht="15" hidden="false" customHeight="true" outlineLevel="0" collapsed="false">
      <c r="A29" s="0" t="n">
        <v>28</v>
      </c>
      <c r="B29" s="0" t="s">
        <v>118</v>
      </c>
      <c r="C29" s="0" t="s">
        <v>218</v>
      </c>
      <c r="D29" s="0" t="s">
        <v>219</v>
      </c>
      <c r="E29" s="0" t="s">
        <v>220</v>
      </c>
      <c r="J29" s="0" t="n">
        <f aca="false">IFERROR(AVERAGEIF(Stories!$C$2:C$200,C29,Stories!$O$2:O$200),0)/100</f>
        <v>0</v>
      </c>
      <c r="K29" s="10" t="str">
        <f aca="false">IF(COUNTIFS(Stories!$C$2:C$200,C29,Stories!$L$2:L$200,"*Blocked*")&gt;0,"🚫 Blocked",IF(J29=1,"✅ Completed",IF(J29&gt;0,"🔄 In Progress","⏳ Planned")))</f>
        <v>⏳ Planned</v>
      </c>
    </row>
    <row r="30" customFormat="false" ht="15" hidden="false" customHeight="true" outlineLevel="0" collapsed="false">
      <c r="A30" s="0" t="n">
        <v>29</v>
      </c>
      <c r="B30" s="0" t="s">
        <v>118</v>
      </c>
      <c r="C30" s="0" t="s">
        <v>221</v>
      </c>
      <c r="D30" s="0" t="s">
        <v>222</v>
      </c>
      <c r="E30" s="0" t="s">
        <v>223</v>
      </c>
      <c r="J30" s="0" t="n">
        <f aca="false">IFERROR(AVERAGEIF(Stories!$C$2:C$200,C30,Stories!$O$2:O$200),0)/100</f>
        <v>0</v>
      </c>
      <c r="K30" s="10" t="str">
        <f aca="false">IF(COUNTIFS(Stories!$C$2:C$200,C30,Stories!$L$2:L$200,"*Blocked*")&gt;0,"🚫 Blocked",IF(J30=1,"✅ Completed",IF(J30&gt;0,"🔄 In Progress","⏳ Planned")))</f>
        <v>⏳ Planned</v>
      </c>
    </row>
    <row r="31" customFormat="false" ht="15" hidden="false" customHeight="true" outlineLevel="0" collapsed="false">
      <c r="A31" s="0" t="n">
        <v>30</v>
      </c>
      <c r="B31" s="0" t="s">
        <v>121</v>
      </c>
      <c r="C31" s="0" t="s">
        <v>224</v>
      </c>
      <c r="D31" s="0" t="s">
        <v>122</v>
      </c>
      <c r="E31" s="0" t="s">
        <v>225</v>
      </c>
      <c r="J31" s="0" t="n">
        <f aca="false">IFERROR(AVERAGEIF(Stories!$C$2:C$200,C31,Stories!$O$2:O$200),0)/100</f>
        <v>0</v>
      </c>
      <c r="K31" s="10" t="str">
        <f aca="false">IF(COUNTIFS(Stories!$C$2:C$200,C31,Stories!$L$2:L$200,"*Blocked*")&gt;0,"🚫 Blocked",IF(J31=1,"✅ Completed",IF(J31&gt;0,"🔄 In Progress","⏳ Planned")))</f>
        <v>⏳ Planned</v>
      </c>
    </row>
    <row r="32" customFormat="false" ht="15" hidden="false" customHeight="true" outlineLevel="0" collapsed="false">
      <c r="A32" s="0" t="n">
        <v>31</v>
      </c>
      <c r="B32" s="0" t="s">
        <v>121</v>
      </c>
      <c r="C32" s="0" t="s">
        <v>226</v>
      </c>
      <c r="D32" s="0" t="s">
        <v>227</v>
      </c>
      <c r="E32" s="0" t="s">
        <v>228</v>
      </c>
      <c r="J32" s="0" t="n">
        <f aca="false">IFERROR(AVERAGEIF(Stories!$C$2:C$200,C32,Stories!$O$2:O$200),0)/100</f>
        <v>0</v>
      </c>
      <c r="K32" s="10" t="str">
        <f aca="false">IF(COUNTIFS(Stories!$C$2:C$200,C32,Stories!$L$2:L$200,"*Blocked*")&gt;0,"🚫 Blocked",IF(J32=1,"✅ Completed",IF(J32&gt;0,"🔄 In Progress","⏳ Planned")))</f>
        <v>⏳ Planned</v>
      </c>
    </row>
    <row r="33" customFormat="false" ht="15" hidden="false" customHeight="true" outlineLevel="0" collapsed="false">
      <c r="A33" s="0" t="n">
        <v>32</v>
      </c>
      <c r="B33" s="0" t="s">
        <v>124</v>
      </c>
      <c r="C33" s="0" t="s">
        <v>229</v>
      </c>
      <c r="D33" s="0" t="s">
        <v>230</v>
      </c>
      <c r="E33" s="0" t="s">
        <v>231</v>
      </c>
      <c r="J33" s="0" t="n">
        <f aca="false">IFERROR(AVERAGEIF(Stories!$C$2:C$200,C33,Stories!$O$2:O$200),0)/100</f>
        <v>0</v>
      </c>
      <c r="K33" s="10" t="str">
        <f aca="false">IF(COUNTIFS(Stories!$C$2:C$200,C33,Stories!$L$2:L$200,"*Blocked*")&gt;0,"🚫 Blocked",IF(J33=1,"✅ Completed",IF(J33&gt;0,"🔄 In Progress","⏳ Planned")))</f>
        <v>⏳ Planned</v>
      </c>
    </row>
    <row r="34" customFormat="false" ht="15" hidden="false" customHeight="true" outlineLevel="0" collapsed="false">
      <c r="A34" s="0" t="n">
        <v>33</v>
      </c>
      <c r="B34" s="0" t="s">
        <v>124</v>
      </c>
      <c r="C34" s="0" t="s">
        <v>232</v>
      </c>
      <c r="D34" s="0" t="s">
        <v>233</v>
      </c>
      <c r="E34" s="0" t="s">
        <v>234</v>
      </c>
      <c r="J34" s="0" t="n">
        <f aca="false">IFERROR(AVERAGEIF(Stories!$C$2:C$200,C34,Stories!$O$2:O$200),0)/100</f>
        <v>0</v>
      </c>
      <c r="K34" s="10" t="str">
        <f aca="false">IF(COUNTIFS(Stories!$C$2:C$200,C34,Stories!$L$2:L$200,"*Blocked*")&gt;0,"🚫 Blocked",IF(J34=1,"✅ Completed",IF(J34&gt;0,"🔄 In Progress","⏳ Planned")))</f>
        <v>⏳ Planned</v>
      </c>
    </row>
    <row r="35" customFormat="false" ht="15" hidden="false" customHeight="true" outlineLevel="0" collapsed="false">
      <c r="A35" s="0" t="n">
        <v>34</v>
      </c>
      <c r="B35" s="0" t="s">
        <v>127</v>
      </c>
      <c r="C35" s="0" t="s">
        <v>235</v>
      </c>
      <c r="D35" s="0" t="s">
        <v>236</v>
      </c>
      <c r="E35" s="0" t="s">
        <v>237</v>
      </c>
      <c r="J35" s="0" t="n">
        <f aca="false">IFERROR(AVERAGEIF(Stories!$C$2:C$200,C35,Stories!$O$2:O$200),0)/100</f>
        <v>0</v>
      </c>
      <c r="K35" s="10" t="str">
        <f aca="false">IF(COUNTIFS(Stories!$C$2:C$200,C35,Stories!$L$2:L$200,"*Blocked*")&gt;0,"🚫 Blocked",IF(J35=1,"✅ Completed",IF(J35&gt;0,"🔄 In Progress","⏳ Planned")))</f>
        <v>⏳ Planned</v>
      </c>
    </row>
    <row r="36" customFormat="false" ht="15" hidden="false" customHeight="true" outlineLevel="0" collapsed="false">
      <c r="A36" s="0" t="n">
        <v>35</v>
      </c>
      <c r="B36" s="0" t="s">
        <v>127</v>
      </c>
      <c r="C36" s="0" t="s">
        <v>238</v>
      </c>
      <c r="D36" s="0" t="s">
        <v>239</v>
      </c>
      <c r="E36" s="0" t="s">
        <v>240</v>
      </c>
      <c r="J36" s="0" t="n">
        <f aca="false">IFERROR(AVERAGEIF(Stories!$C$2:C$200,C36,Stories!$O$2:O$200),0)/100</f>
        <v>0</v>
      </c>
      <c r="K36" s="10" t="str">
        <f aca="false">IF(COUNTIFS(Stories!$C$2:C$200,C36,Stories!$L$2:L$200,"*Blocked*")&gt;0,"🚫 Blocked",IF(J36=1,"✅ Completed",IF(J36&gt;0,"🔄 In Progress","⏳ Planned")))</f>
        <v>⏳ Planned</v>
      </c>
    </row>
    <row r="37" customFormat="false" ht="15" hidden="false" customHeight="true" outlineLevel="0" collapsed="false">
      <c r="A37" s="0" t="n">
        <v>36</v>
      </c>
      <c r="B37" s="0" t="s">
        <v>130</v>
      </c>
      <c r="C37" s="0" t="s">
        <v>241</v>
      </c>
      <c r="D37" s="0" t="s">
        <v>242</v>
      </c>
      <c r="E37" s="0" t="s">
        <v>243</v>
      </c>
      <c r="J37" s="0" t="n">
        <f aca="false">IFERROR(AVERAGEIF(Stories!$C$2:C$200,C37,Stories!$O$2:O$200),0)/100</f>
        <v>0</v>
      </c>
      <c r="K37" s="10" t="str">
        <f aca="false">IF(COUNTIFS(Stories!$C$2:C$200,C37,Stories!$L$2:L$200,"*Blocked*")&gt;0,"🚫 Blocked",IF(J37=1,"✅ Completed",IF(J37&gt;0,"🔄 In Progress","⏳ Planned")))</f>
        <v>⏳ Planned</v>
      </c>
    </row>
    <row r="38" customFormat="false" ht="23.25" hidden="false" customHeight="true" outlineLevel="0" collapsed="false">
      <c r="A38" s="0" t="n">
        <v>37</v>
      </c>
      <c r="B38" s="0" t="s">
        <v>130</v>
      </c>
      <c r="C38" s="0" t="s">
        <v>244</v>
      </c>
      <c r="D38" s="0" t="s">
        <v>245</v>
      </c>
      <c r="E38" s="0" t="s">
        <v>246</v>
      </c>
      <c r="J38" s="0" t="n">
        <f aca="false">IFERROR(AVERAGEIF(Stories!$C$2:C$200,C38,Stories!$O$2:O$200),0)/100</f>
        <v>0</v>
      </c>
      <c r="K38" s="10" t="str">
        <f aca="false">IF(COUNTIFS(Stories!$C$2:C$200,C38,Stories!$L$2:L$200,"*Blocked*")&gt;0,"🚫 Blocked",IF(J38=1,"✅ Completed",IF(J38&gt;0,"🔄 In Progress","⏳ Planned")))</f>
        <v>⏳ Planned</v>
      </c>
    </row>
    <row r="39" customFormat="false" ht="23.25" hidden="false" customHeight="true" outlineLevel="0" collapsed="false">
      <c r="A39" s="0" t="n">
        <v>38</v>
      </c>
      <c r="B39" s="0" t="s">
        <v>133</v>
      </c>
      <c r="C39" s="0" t="s">
        <v>247</v>
      </c>
      <c r="D39" s="0" t="s">
        <v>248</v>
      </c>
      <c r="E39" s="0" t="s">
        <v>249</v>
      </c>
      <c r="J39" s="0" t="n">
        <f aca="false">IFERROR(AVERAGEIF(Stories!$C$2:C$200,C39,Stories!$O$2:O$200),0)/100</f>
        <v>0</v>
      </c>
      <c r="K39" s="10" t="str">
        <f aca="false">IF(COUNTIFS(Stories!$C$2:C$200,C39,Stories!$L$2:L$200,"*Blocked*")&gt;0,"🚫 Blocked",IF(J39=1,"✅ Completed",IF(J39&gt;0,"🔄 In Progress","⏳ Planned")))</f>
        <v>⏳ Planned</v>
      </c>
    </row>
    <row r="40" customFormat="false" ht="23.25" hidden="false" customHeight="true" outlineLevel="0" collapsed="false">
      <c r="K40" s="10"/>
    </row>
    <row r="41" customFormat="false" ht="23.25" hidden="false" customHeight="true" outlineLevel="0" collapsed="false">
      <c r="K41" s="10"/>
    </row>
    <row r="42" customFormat="false" ht="23.25" hidden="false" customHeight="true" outlineLevel="0" collapsed="false">
      <c r="K42" s="10"/>
    </row>
    <row r="43" customFormat="false" ht="23.25" hidden="false" customHeight="true" outlineLevel="0" collapsed="false">
      <c r="K43" s="10"/>
    </row>
    <row r="44" customFormat="false" ht="15" hidden="false" customHeight="true" outlineLevel="0" collapsed="false">
      <c r="K44" s="10"/>
    </row>
    <row r="45" customFormat="false" ht="15" hidden="false" customHeight="true" outlineLevel="0" collapsed="false">
      <c r="K45" s="10"/>
    </row>
    <row r="46" customFormat="false" ht="15" hidden="false" customHeight="true" outlineLevel="0" collapsed="false">
      <c r="K46" s="10"/>
    </row>
    <row r="47" customFormat="false" ht="15" hidden="false" customHeight="true" outlineLevel="0" collapsed="false">
      <c r="K47" s="10"/>
    </row>
    <row r="48" customFormat="false" ht="15" hidden="false" customHeight="true" outlineLevel="0" collapsed="false">
      <c r="K48" s="10"/>
    </row>
    <row r="49" customFormat="false" ht="23.25" hidden="false" customHeight="true" outlineLevel="0" collapsed="false">
      <c r="K49" s="10"/>
    </row>
    <row r="50" customFormat="false" ht="23.25" hidden="false" customHeight="true" outlineLevel="0" collapsed="false">
      <c r="K50" s="10"/>
    </row>
    <row r="51" customFormat="false" ht="23.25" hidden="false" customHeight="true" outlineLevel="0" collapsed="false">
      <c r="K51" s="10"/>
    </row>
    <row r="52" customFormat="false" ht="23.25" hidden="false" customHeight="true" outlineLevel="0" collapsed="false">
      <c r="K52" s="10"/>
    </row>
    <row r="53" customFormat="false" ht="23.25" hidden="false" customHeight="true" outlineLevel="0" collapsed="false">
      <c r="K53" s="10"/>
    </row>
    <row r="54" customFormat="false" ht="23.25" hidden="false" customHeight="true" outlineLevel="0" collapsed="false">
      <c r="K54" s="10"/>
    </row>
    <row r="55" customFormat="false" ht="23.25" hidden="false" customHeight="true" outlineLevel="0" collapsed="false">
      <c r="K55" s="10"/>
    </row>
    <row r="56" customFormat="false" ht="23.25" hidden="false" customHeight="true" outlineLevel="0" collapsed="false">
      <c r="K56" s="10"/>
    </row>
    <row r="57" customFormat="false" ht="23.25" hidden="false" customHeight="true" outlineLevel="0" collapsed="false">
      <c r="K57" s="10"/>
    </row>
    <row r="58" customFormat="false" ht="23.25" hidden="false" customHeight="true" outlineLevel="0" collapsed="false">
      <c r="K58" s="10"/>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{A8BAB9E4-809E-48F9-8395-981E2F63B5EC}</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A8BAB9E4-809E-48F9-8395-981E2F63B5EC}">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42"/>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30" hidden="false" customHeight="true" outlineLevel="0" collapsed="false">
      <c r="A1" s="4" t="s">
        <v>250</v>
      </c>
      <c r="B1" s="4" t="s">
        <v>251</v>
      </c>
      <c r="C1" s="4" t="s">
        <v>252</v>
      </c>
      <c r="D1" s="4" t="s">
        <v>253</v>
      </c>
      <c r="E1" s="4" t="s">
        <v>58</v>
      </c>
      <c r="F1" s="4" t="s">
        <v>254</v>
      </c>
      <c r="G1" s="4" t="s">
        <v>255</v>
      </c>
      <c r="H1" s="4" t="s">
        <v>29</v>
      </c>
      <c r="I1" s="4" t="s">
        <v>18</v>
      </c>
      <c r="J1" s="4" t="s">
        <v>13</v>
      </c>
      <c r="K1" s="4" t="s">
        <v>256</v>
      </c>
      <c r="L1" s="4" t="s">
        <v>257</v>
      </c>
      <c r="M1" s="4" t="s">
        <v>258</v>
      </c>
    </row>
    <row r="2" customFormat="false" ht="34.5" hidden="false" customHeight="true" outlineLevel="0" collapsed="false">
      <c r="A2" s="0" t="s">
        <v>259</v>
      </c>
      <c r="B2" s="0" t="s">
        <v>260</v>
      </c>
      <c r="C2" s="0" t="s">
        <v>64</v>
      </c>
      <c r="D2" s="0" t="s">
        <v>261</v>
      </c>
      <c r="G2" s="0" t="n">
        <v>18</v>
      </c>
      <c r="H2" s="0" t="n">
        <f aca="false">COUNTIFS(Stories!$B$2:B$500,A2,Stories!$L$2:L$500,"*Done*")</f>
        <v>18</v>
      </c>
      <c r="I2" s="0" t="n">
        <f aca="false">IFERROR(AVERAGEIFS(Stories!$O$2:$O$500,Stories!$B$2:$B$500,A2),0)/100</f>
        <v>1</v>
      </c>
      <c r="J2" s="10" t="str">
        <f aca="false">IF(COUNTIFS(Stories!$B$2:$B$500,A2,Stories!$L$2:$L$500,"*Blocked*")&gt;0,"🚫 Blocked",IF(I2=1,"✅ Completed",IF(I2&gt;0,"🔄 In Progress","⏳ Planned")))</f>
        <v>✅ Completed</v>
      </c>
      <c r="K2" s="0" t="str">
        <f aca="false" t="array" ref="K2:K2">_xlfn.TEXTJOIN(", ",TRUE(),IF(Sprint_Epics!$A$2:$A$500=A2,Sprint_Epics!$C$2:$C$500,""))</f>
        <v>ML1</v>
      </c>
      <c r="L2" s="0" t="str">
        <f aca="false" t="array" ref="L2:L2">_xlfn.TEXTJOIN(", ",TRUE(),IF(Sprint_Epics!$A$2:$A$500=A2,IFERROR(INDEX(Milestones!$C$2:$C$25,MATCH(Sprint_Epics!$C$2:$C$500,Milestones!$B$2:$B$25,0)),""),""))</f>
        <v>PH1</v>
      </c>
    </row>
    <row r="3" customFormat="false" ht="23.25" hidden="false" customHeight="true" outlineLevel="0" collapsed="false">
      <c r="A3" s="0" t="s">
        <v>262</v>
      </c>
      <c r="B3" s="0" t="s">
        <v>263</v>
      </c>
      <c r="C3" s="0" t="s">
        <v>68</v>
      </c>
      <c r="D3" s="0" t="s">
        <v>264</v>
      </c>
      <c r="G3" s="0" t="n">
        <v>9</v>
      </c>
      <c r="H3" s="0" t="n">
        <f aca="false">COUNTIFS(Stories!$B$2:B$500,A3,Stories!$L$2:L$500,"*Done*")</f>
        <v>0</v>
      </c>
      <c r="I3" s="0" t="n">
        <f aca="false">IFERROR(AVERAGEIFS(Stories!$O$2:$O$500,Stories!$B$2:$B$500,A3),0)/100</f>
        <v>0</v>
      </c>
      <c r="J3" s="10" t="str">
        <f aca="false">IF(COUNTIFS(Stories!$B$2:$B$500,A3,Stories!$L$2:$L$500,"*Blocked*")&gt;0,"🚫 Blocked",IF(I3=1,"✅ Completed",IF(I3&gt;0,"🔄 In Progress","⏳ Planned")))</f>
        <v>⏳ Planned</v>
      </c>
      <c r="K3" s="0" t="str">
        <f aca="false" t="array" ref="K3:K3">_xlfn.TEXTJOIN(", ",TRUE(),IF(Sprint_Epics!$A$2:$A$500=A3,Sprint_Epics!$C$2:$C$500,""))</f>
        <v>ML2, ML2, ML2, ML2</v>
      </c>
      <c r="L3" s="0" t="str">
        <f aca="false" t="array" ref="L3:L3">_xlfn.TEXTJOIN(", ",TRUE(),IF(Sprint_Epics!$A$2:$A$500=A3,IFERROR(INDEX(Milestones!$C$2:$C$25,MATCH(Sprint_Epics!$C$2:$C$500,Milestones!$B$2:$B$25,0)),""),""))</f>
        <v>PH2, PH2, PH2, PH2</v>
      </c>
    </row>
    <row r="4" customFormat="false" ht="23.25" hidden="false" customHeight="true" outlineLevel="0" collapsed="false">
      <c r="A4" s="0" t="s">
        <v>265</v>
      </c>
      <c r="B4" s="0" t="s">
        <v>266</v>
      </c>
      <c r="C4" s="0" t="s">
        <v>71</v>
      </c>
      <c r="D4" s="0" t="s">
        <v>267</v>
      </c>
      <c r="G4" s="0" t="n">
        <v>4</v>
      </c>
      <c r="H4" s="0" t="n">
        <f aca="false">COUNTIFS(Stories!$B$2:B$500,A4,Stories!$L$2:L$500,"*Done*")</f>
        <v>0</v>
      </c>
      <c r="I4" s="0" t="n">
        <f aca="false">IFERROR(AVERAGEIFS(Stories!$O$2:$O$500,Stories!$B$2:$B$500,A4),0)/100</f>
        <v>0</v>
      </c>
      <c r="J4" s="10" t="str">
        <f aca="false">IF(COUNTIFS(Stories!$B$2:$B$500,A4,Stories!$L$2:$L$500,"*Blocked*")&gt;0,"🚫 Blocked",IF(I4=1,"✅ Completed",IF(I4&gt;0,"🔄 In Progress","⏳ Planned")))</f>
        <v>⏳ Planned</v>
      </c>
      <c r="K4" s="0" t="str">
        <f aca="false" t="array" ref="K4:K4">_xlfn.TEXTJOIN(", ",TRUE(),IF(Sprint_Epics!$A$2:$A$500=A4,Sprint_Epics!$C$2:$C$500,""))</f>
        <v>ML3</v>
      </c>
      <c r="L4" s="0" t="str">
        <f aca="false" t="array" ref="L4:L4">_xlfn.TEXTJOIN(", ",TRUE(),IF(Sprint_Epics!$A$2:$A$500=A4,IFERROR(INDEX(Milestones!$C$2:$C$25,MATCH(Sprint_Epics!$C$2:$C$500,Milestones!$B$2:$B$25,0)),""),""))</f>
        <v>PH2</v>
      </c>
    </row>
    <row r="5" customFormat="false" ht="23.25" hidden="false" customHeight="true" outlineLevel="0" collapsed="false">
      <c r="A5" s="0" t="s">
        <v>268</v>
      </c>
      <c r="B5" s="0" t="s">
        <v>269</v>
      </c>
      <c r="C5" s="0" t="s">
        <v>74</v>
      </c>
      <c r="D5" s="0" t="s">
        <v>270</v>
      </c>
      <c r="G5" s="0" t="n">
        <v>4</v>
      </c>
      <c r="H5" s="0" t="n">
        <f aca="false">COUNTIFS(Stories!$B$2:B$500,A5,Stories!$L$2:L$500,"*Done*")</f>
        <v>0</v>
      </c>
      <c r="I5" s="0" t="n">
        <f aca="false">IFERROR(AVERAGEIFS(Stories!$O$2:$O$500,Stories!$B$2:$B$500,A5),0)/100</f>
        <v>0</v>
      </c>
      <c r="J5" s="10" t="str">
        <f aca="false">IF(COUNTIFS(Stories!$B$2:$B$500,A5,Stories!$L$2:$L$500,"*Blocked*")&gt;0,"🚫 Blocked",IF(I5=1,"✅ Completed",IF(I5&gt;0,"🔄 In Progress","⏳ Planned")))</f>
        <v>⏳ Planned</v>
      </c>
      <c r="K5" s="0" t="str">
        <f aca="false" t="array" ref="K5:K5">_xlfn.TEXTJOIN(", ",TRUE(),IF(Sprint_Epics!$A$2:$A$500=A5,Sprint_Epics!$C$2:$C$500,""))</f>
        <v>ML4</v>
      </c>
      <c r="L5" s="0" t="str">
        <f aca="false" t="array" ref="L5:L5">_xlfn.TEXTJOIN(", ",TRUE(),IF(Sprint_Epics!$A$2:$A$500=A5,IFERROR(INDEX(Milestones!$C$2:$C$25,MATCH(Sprint_Epics!$C$2:$C$500,Milestones!$B$2:$B$25,0)),""),""))</f>
        <v>PH2</v>
      </c>
    </row>
    <row r="6" customFormat="false" ht="23.25" hidden="false" customHeight="true" outlineLevel="0" collapsed="false">
      <c r="A6" s="0" t="s">
        <v>271</v>
      </c>
      <c r="B6" s="0" t="s">
        <v>272</v>
      </c>
      <c r="C6" s="0" t="s">
        <v>77</v>
      </c>
      <c r="D6" s="0" t="s">
        <v>273</v>
      </c>
      <c r="G6" s="0" t="n">
        <v>5</v>
      </c>
      <c r="H6" s="0" t="n">
        <f aca="false">COUNTIFS(Stories!$B$2:B$500,A6,Stories!$L$2:L$500,"*Done*")</f>
        <v>0</v>
      </c>
      <c r="I6" s="0" t="n">
        <f aca="false">IFERROR(AVERAGEIFS(Stories!$O$2:$O$500,Stories!$B$2:$B$500,A6),0)/100</f>
        <v>0</v>
      </c>
      <c r="J6" s="10" t="str">
        <f aca="false">IF(COUNTIFS(Stories!$B$2:$B$500,A6,Stories!$L$2:$L$500,"*Blocked*")&gt;0,"🚫 Blocked",IF(I6=1,"✅ Completed",IF(I6&gt;0,"🔄 In Progress","⏳ Planned")))</f>
        <v>⏳ Planned</v>
      </c>
      <c r="K6" s="0" t="str">
        <f aca="false" t="array" ref="K6:K6">_xlfn.TEXTJOIN(", ",TRUE(),IF(Sprint_Epics!$A$2:$A$500=A6,Sprint_Epics!$C$2:$C$500,""))</f>
        <v>ML5</v>
      </c>
      <c r="L6" s="0" t="str">
        <f aca="false" t="array" ref="L6:L6">_xlfn.TEXTJOIN(", ",TRUE(),IF(Sprint_Epics!$A$2:$A$500=A6,IFERROR(INDEX(Milestones!$C$2:$C$25,MATCH(Sprint_Epics!$C$2:$C$500,Milestones!$B$2:$B$25,0)),""),""))</f>
        <v>PH2</v>
      </c>
    </row>
    <row r="7" customFormat="false" ht="23.25" hidden="false" customHeight="true" outlineLevel="0" collapsed="false">
      <c r="A7" s="0" t="s">
        <v>274</v>
      </c>
      <c r="B7" s="0" t="s">
        <v>275</v>
      </c>
      <c r="C7" s="0" t="s">
        <v>80</v>
      </c>
      <c r="D7" s="0" t="s">
        <v>276</v>
      </c>
      <c r="G7" s="0" t="n">
        <v>4</v>
      </c>
      <c r="H7" s="0" t="n">
        <f aca="false">COUNTIFS(Stories!$B$2:B$500,A7,Stories!$L$2:L$500,"*Done*")</f>
        <v>0</v>
      </c>
      <c r="I7" s="0" t="n">
        <f aca="false">IFERROR(AVERAGEIFS(Stories!$O$2:$O$500,Stories!$B$2:$B$500,A7),0)/100</f>
        <v>0</v>
      </c>
      <c r="J7" s="10" t="str">
        <f aca="false">IF(COUNTIFS(Stories!$B$2:$B$500,A7,Stories!$L$2:$L$500,"*Blocked*")&gt;0,"🚫 Blocked",IF(I7=1,"✅ Completed",IF(I7&gt;0,"🔄 In Progress","⏳ Planned")))</f>
        <v>⏳ Planned</v>
      </c>
      <c r="K7" s="0" t="str">
        <f aca="false" t="array" ref="K7:K7">_xlfn.TEXTJOIN(", ",TRUE(),IF(Sprint_Epics!$A$2:$A$500=A7,Sprint_Epics!$C$2:$C$500,""))</f>
        <v>ML6</v>
      </c>
      <c r="L7" s="0" t="str">
        <f aca="false" t="array" ref="L7:L7">_xlfn.TEXTJOIN(", ",TRUE(),IF(Sprint_Epics!$A$2:$A$500=A7,IFERROR(INDEX(Milestones!$C$2:$C$25,MATCH(Sprint_Epics!$C$2:$C$500,Milestones!$B$2:$B$25,0)),""),""))</f>
        <v>PH2</v>
      </c>
    </row>
    <row r="8" customFormat="false" ht="23.25" hidden="false" customHeight="true" outlineLevel="0" collapsed="false">
      <c r="A8" s="0" t="s">
        <v>277</v>
      </c>
      <c r="B8" s="0" t="s">
        <v>278</v>
      </c>
      <c r="C8" s="0" t="s">
        <v>83</v>
      </c>
      <c r="D8" s="0" t="s">
        <v>279</v>
      </c>
      <c r="G8" s="0" t="n">
        <v>7</v>
      </c>
      <c r="H8" s="0" t="n">
        <f aca="false">COUNTIFS(Stories!$B$2:B$500,A8,Stories!$L$2:L$500,"*Done*")</f>
        <v>0</v>
      </c>
      <c r="I8" s="0" t="n">
        <f aca="false">IFERROR(AVERAGEIFS(Stories!$O$2:$O$500,Stories!$B$2:$B$500,A8),0)/100</f>
        <v>0</v>
      </c>
      <c r="J8" s="10" t="str">
        <f aca="false">IF(COUNTIFS(Stories!$B$2:$B$500,A8,Stories!$L$2:$L$500,"*Blocked*")&gt;0,"🚫 Blocked",IF(I8=1,"✅ Completed",IF(I8&gt;0,"🔄 In Progress","⏳ Planned")))</f>
        <v>⏳ Planned</v>
      </c>
      <c r="K8" s="0" t="str">
        <f aca="false" t="array" ref="K8:K8">_xlfn.TEXTJOIN(", ",TRUE(),IF(Sprint_Epics!$A$2:$A$500=A8,Sprint_Epics!$C$2:$C$500,""))</f>
        <v>ML7, ML7</v>
      </c>
      <c r="L8" s="0" t="str">
        <f aca="false" t="array" ref="L8:L8">_xlfn.TEXTJOIN(", ",TRUE(),IF(Sprint_Epics!$A$2:$A$500=A8,IFERROR(INDEX(Milestones!$C$2:$C$25,MATCH(Sprint_Epics!$C$2:$C$500,Milestones!$B$2:$B$25,0)),""),""))</f>
        <v>PH2, PH2</v>
      </c>
    </row>
    <row r="9" customFormat="false" ht="15" hidden="false" customHeight="true" outlineLevel="0" collapsed="false">
      <c r="A9" s="0" t="s">
        <v>280</v>
      </c>
      <c r="B9" s="0" t="s">
        <v>281</v>
      </c>
      <c r="C9" s="0" t="s">
        <v>86</v>
      </c>
      <c r="D9" s="0" t="s">
        <v>282</v>
      </c>
      <c r="G9" s="0" t="n">
        <v>5</v>
      </c>
      <c r="H9" s="0" t="n">
        <f aca="false">COUNTIFS(Stories!$B$2:B$500,A9,Stories!$L$2:L$500,"*Done*")</f>
        <v>0</v>
      </c>
      <c r="I9" s="0" t="n">
        <f aca="false">IFERROR(AVERAGEIFS(Stories!$O$2:$O$500,Stories!$B$2:$B$500,A9),0)/100</f>
        <v>0</v>
      </c>
      <c r="J9" s="10" t="str">
        <f aca="false">IF(COUNTIFS(Stories!$B$2:$B$500,A9,Stories!$L$2:$L$500,"*Blocked*")&gt;0,"🚫 Blocked",IF(I9=1,"✅ Completed",IF(I9&gt;0,"🔄 In Progress","⏳ Planned")))</f>
        <v>⏳ Planned</v>
      </c>
      <c r="K9" s="0" t="str">
        <f aca="false" t="array" ref="K9:K9">_xlfn.TEXTJOIN(", ",TRUE(),IF(Sprint_Epics!$A$2:$A$500=A9,Sprint_Epics!$C$2:$C$500,""))</f>
        <v>ML8, ML8</v>
      </c>
      <c r="L9" s="0" t="str">
        <f aca="false" t="array" ref="L9:L9">_xlfn.TEXTJOIN(", ",TRUE(),IF(Sprint_Epics!$A$2:$A$500=A9,IFERROR(INDEX(Milestones!$C$2:$C$25,MATCH(Sprint_Epics!$C$2:$C$500,Milestones!$B$2:$B$25,0)),""),""))</f>
        <v>PH2, PH2</v>
      </c>
    </row>
    <row r="10" customFormat="false" ht="15" hidden="false" customHeight="true" outlineLevel="0" collapsed="false">
      <c r="A10" s="0" t="s">
        <v>283</v>
      </c>
      <c r="B10" s="0" t="s">
        <v>284</v>
      </c>
      <c r="C10" s="0" t="s">
        <v>89</v>
      </c>
      <c r="D10" s="0" t="s">
        <v>285</v>
      </c>
      <c r="G10" s="0" t="n">
        <v>3</v>
      </c>
      <c r="H10" s="0" t="n">
        <f aca="false">COUNTIFS(Stories!$B$2:B$500,A10,Stories!$L$2:L$500,"*Done*")</f>
        <v>0</v>
      </c>
      <c r="I10" s="0" t="n">
        <f aca="false">IFERROR(AVERAGEIFS(Stories!$O$2:$O$500,Stories!$B$2:$B$500,A10),0)/100</f>
        <v>0</v>
      </c>
      <c r="J10" s="10" t="str">
        <f aca="false">IF(COUNTIFS(Stories!$B$2:$B$500,A10,Stories!$L$2:$L$500,"*Blocked*")&gt;0,"🚫 Blocked",IF(I10=1,"✅ Completed",IF(I10&gt;0,"🔄 In Progress","⏳ Planned")))</f>
        <v>⏳ Planned</v>
      </c>
      <c r="K10" s="0" t="str">
        <f aca="false" t="array" ref="K10:K10">_xlfn.TEXTJOIN(", ",TRUE(),IF(Sprint_Epics!$A$2:$A$500=A10,Sprint_Epics!$C$2:$C$500,""))</f>
        <v>ML9</v>
      </c>
      <c r="L10" s="0" t="str">
        <f aca="false" t="array" ref="L10:L10">_xlfn.TEXTJOIN(", ",TRUE(),IF(Sprint_Epics!$A$2:$A$500=A10,IFERROR(INDEX(Milestones!$C$2:$C$25,MATCH(Sprint_Epics!$C$2:$C$500,Milestones!$B$2:$B$25,0)),""),""))</f>
        <v>PH2</v>
      </c>
    </row>
    <row r="11" customFormat="false" ht="23.25" hidden="false" customHeight="true" outlineLevel="0" collapsed="false">
      <c r="A11" s="0" t="s">
        <v>286</v>
      </c>
      <c r="B11" s="0" t="s">
        <v>287</v>
      </c>
      <c r="C11" s="0" t="s">
        <v>92</v>
      </c>
      <c r="D11" s="0" t="s">
        <v>288</v>
      </c>
      <c r="G11" s="0" t="n">
        <v>4</v>
      </c>
      <c r="H11" s="0" t="n">
        <f aca="false">COUNTIFS(Stories!$B$2:B$500,A11,Stories!$L$2:L$500,"*Done*")</f>
        <v>0</v>
      </c>
      <c r="I11" s="0" t="n">
        <f aca="false">IFERROR(AVERAGEIFS(Stories!$O$2:$O$500,Stories!$B$2:$B$500,A11),0)/100</f>
        <v>0</v>
      </c>
      <c r="J11" s="10" t="str">
        <f aca="false">IF(COUNTIFS(Stories!$B$2:$B$500,A11,Stories!$L$2:$L$500,"*Blocked*")&gt;0,"🚫 Blocked",IF(I11=1,"✅ Completed",IF(I11&gt;0,"🔄 In Progress","⏳ Planned")))</f>
        <v>⏳ Planned</v>
      </c>
      <c r="K11" s="0" t="str">
        <f aca="false" t="array" ref="K11:K11">_xlfn.TEXTJOIN(", ",TRUE(),IF(Sprint_Epics!$A$2:$A$500=A11,Sprint_Epics!$C$2:$C$500,""))</f>
        <v>ML10</v>
      </c>
      <c r="L11" s="0" t="str">
        <f aca="false" t="array" ref="L11:L11">_xlfn.TEXTJOIN(", ",TRUE(),IF(Sprint_Epics!$A$2:$A$500=A11,IFERROR(INDEX(Milestones!$C$2:$C$25,MATCH(Sprint_Epics!$C$2:$C$500,Milestones!$B$2:$B$25,0)),""),""))</f>
        <v>PH2</v>
      </c>
    </row>
    <row r="12" customFormat="false" ht="23.25" hidden="false" customHeight="true" outlineLevel="0" collapsed="false">
      <c r="A12" s="0" t="s">
        <v>289</v>
      </c>
      <c r="B12" s="0" t="s">
        <v>290</v>
      </c>
      <c r="C12" s="0" t="s">
        <v>95</v>
      </c>
      <c r="D12" s="0" t="s">
        <v>291</v>
      </c>
      <c r="G12" s="0" t="n">
        <v>3</v>
      </c>
      <c r="H12" s="0" t="n">
        <f aca="false">COUNTIFS(Stories!$B$2:B$500,A12,Stories!$L$2:L$500,"*Done*")</f>
        <v>0</v>
      </c>
      <c r="I12" s="0" t="n">
        <f aca="false">IFERROR(AVERAGEIFS(Stories!$O$2:$O$500,Stories!$B$2:$B$500,A12),0)/100</f>
        <v>0</v>
      </c>
      <c r="J12" s="10" t="str">
        <f aca="false">IF(COUNTIFS(Stories!$B$2:$B$500,A12,Stories!$L$2:$L$500,"*Blocked*")&gt;0,"🚫 Blocked",IF(I12=1,"✅ Completed",IF(I12&gt;0,"🔄 In Progress","⏳ Planned")))</f>
        <v>⏳ Planned</v>
      </c>
      <c r="K12" s="0" t="str">
        <f aca="false" t="array" ref="K12:K12">_xlfn.TEXTJOIN(", ",TRUE(),IF(Sprint_Epics!$A$2:$A$500=A12,Sprint_Epics!$C$2:$C$500,""))</f>
        <v>ML11</v>
      </c>
      <c r="L12" s="0" t="str">
        <f aca="false" t="array" ref="L12:L12">_xlfn.TEXTJOIN(", ",TRUE(),IF(Sprint_Epics!$A$2:$A$500=A12,IFERROR(INDEX(Milestones!$C$2:$C$25,MATCH(Sprint_Epics!$C$2:$C$500,Milestones!$B$2:$B$25,0)),""),""))</f>
        <v>PH2</v>
      </c>
    </row>
    <row r="13" customFormat="false" ht="23.25" hidden="false" customHeight="true" outlineLevel="0" collapsed="false">
      <c r="A13" s="0" t="s">
        <v>292</v>
      </c>
      <c r="B13" s="0" t="s">
        <v>293</v>
      </c>
      <c r="C13" s="0" t="s">
        <v>98</v>
      </c>
      <c r="D13" s="0" t="s">
        <v>294</v>
      </c>
      <c r="G13" s="0" t="n">
        <v>6</v>
      </c>
      <c r="H13" s="0" t="n">
        <f aca="false">COUNTIFS(Stories!$B$2:B$500,A13,Stories!$L$2:L$500,"*Done*")</f>
        <v>0</v>
      </c>
      <c r="I13" s="0" t="n">
        <f aca="false">IFERROR(AVERAGEIFS(Stories!$O$2:$O$500,Stories!$B$2:$B$500,A13),0)/100</f>
        <v>0</v>
      </c>
      <c r="J13" s="10" t="str">
        <f aca="false">IF(COUNTIFS(Stories!$B$2:$B$500,A13,Stories!$L$2:$L$500,"*Blocked*")&gt;0,"🚫 Blocked",IF(I13=1,"✅ Completed",IF(I13&gt;0,"🔄 In Progress","⏳ Planned")))</f>
        <v>⏳ Planned</v>
      </c>
      <c r="K13" s="0" t="str">
        <f aca="false" t="array" ref="K13:K13">_xlfn.TEXTJOIN(", ",TRUE(),IF(Sprint_Epics!$A$2:$A$500=A13,Sprint_Epics!$C$2:$C$500,""))</f>
        <v>ML12, ML12, ML12</v>
      </c>
      <c r="L13" s="0" t="str">
        <f aca="false" t="array" ref="L13:L13">_xlfn.TEXTJOIN(", ",TRUE(),IF(Sprint_Epics!$A$2:$A$500=A13,IFERROR(INDEX(Milestones!$C$2:$C$25,MATCH(Sprint_Epics!$C$2:$C$500,Milestones!$B$2:$B$25,0)),""),""))</f>
        <v>PH2, PH2, PH2</v>
      </c>
    </row>
    <row r="14" customFormat="false" ht="23.25" hidden="false" customHeight="true" outlineLevel="0" collapsed="false">
      <c r="A14" s="0" t="s">
        <v>295</v>
      </c>
      <c r="B14" s="0" t="s">
        <v>296</v>
      </c>
      <c r="C14" s="0" t="s">
        <v>101</v>
      </c>
      <c r="D14" s="0" t="s">
        <v>297</v>
      </c>
      <c r="G14" s="0" t="n">
        <v>6</v>
      </c>
      <c r="H14" s="0" t="n">
        <f aca="false">COUNTIFS(Stories!$B$2:B$500,A14,Stories!$L$2:L$500,"*Done*")</f>
        <v>0</v>
      </c>
      <c r="I14" s="0" t="n">
        <f aca="false">IFERROR(AVERAGEIFS(Stories!$O$2:$O$500,Stories!$B$2:$B$500,A14),0)/100</f>
        <v>0</v>
      </c>
      <c r="J14" s="10" t="str">
        <f aca="false">IF(COUNTIFS(Stories!$B$2:$B$500,A14,Stories!$L$2:$L$500,"*Blocked*")&gt;0,"🚫 Blocked",IF(I14=1,"✅ Completed",IF(I14&gt;0,"🔄 In Progress","⏳ Planned")))</f>
        <v>⏳ Planned</v>
      </c>
      <c r="K14" s="0" t="str">
        <f aca="false" t="array" ref="K14:K14">_xlfn.TEXTJOIN(", ",TRUE(),IF(Sprint_Epics!$A$2:$A$500=A14,Sprint_Epics!$C$2:$C$500,""))</f>
        <v>ML13, ML13</v>
      </c>
      <c r="L14" s="0" t="str">
        <f aca="false" t="array" ref="L14:L14">_xlfn.TEXTJOIN(", ",TRUE(),IF(Sprint_Epics!$A$2:$A$500=A14,IFERROR(INDEX(Milestones!$C$2:$C$25,MATCH(Sprint_Epics!$C$2:$C$500,Milestones!$B$2:$B$25,0)),""),""))</f>
        <v>PH2, PH2</v>
      </c>
    </row>
    <row r="15" customFormat="false" ht="23.25" hidden="false" customHeight="true" outlineLevel="0" collapsed="false">
      <c r="A15" s="0" t="s">
        <v>298</v>
      </c>
      <c r="B15" s="0" t="s">
        <v>299</v>
      </c>
      <c r="C15" s="0" t="s">
        <v>104</v>
      </c>
      <c r="D15" s="0" t="s">
        <v>300</v>
      </c>
      <c r="G15" s="0" t="n">
        <v>4</v>
      </c>
      <c r="H15" s="0" t="n">
        <f aca="false">COUNTIFS(Stories!$B$2:B$500,A15,Stories!$L$2:L$500,"*Done*")</f>
        <v>0</v>
      </c>
      <c r="I15" s="0" t="n">
        <f aca="false">IFERROR(AVERAGEIFS(Stories!$O$2:$O$500,Stories!$B$2:$B$500,A15),0)/100</f>
        <v>0</v>
      </c>
      <c r="J15" s="10" t="str">
        <f aca="false">IF(COUNTIFS(Stories!$B$2:$B$500,A15,Stories!$L$2:$L$500,"*Blocked*")&gt;0,"🚫 Blocked",IF(I15=1,"✅ Completed",IF(I15&gt;0,"🔄 In Progress","⏳ Planned")))</f>
        <v>⏳ Planned</v>
      </c>
      <c r="K15" s="0" t="str">
        <f aca="false" t="array" ref="K15:K15">_xlfn.TEXTJOIN(", ",TRUE(),IF(Sprint_Epics!$A$2:$A$500=A15,Sprint_Epics!$C$2:$C$500,""))</f>
        <v>ML14</v>
      </c>
      <c r="L15" s="0" t="str">
        <f aca="false" t="array" ref="L15:L15">_xlfn.TEXTJOIN(", ",TRUE(),IF(Sprint_Epics!$A$2:$A$500=A15,IFERROR(INDEX(Milestones!$C$2:$C$25,MATCH(Sprint_Epics!$C$2:$C$500,Milestones!$B$2:$B$25,0)),""),""))</f>
        <v>PH2</v>
      </c>
    </row>
    <row r="16" customFormat="false" ht="23.25" hidden="false" customHeight="true" outlineLevel="0" collapsed="false">
      <c r="A16" s="0" t="s">
        <v>301</v>
      </c>
      <c r="B16" s="0" t="s">
        <v>302</v>
      </c>
      <c r="C16" s="0" t="s">
        <v>107</v>
      </c>
      <c r="D16" s="0" t="s">
        <v>303</v>
      </c>
      <c r="G16" s="0" t="n">
        <v>4</v>
      </c>
      <c r="H16" s="0" t="n">
        <f aca="false">COUNTIFS(Stories!$B$2:B$500,A16,Stories!$L$2:L$500,"*Done*")</f>
        <v>0</v>
      </c>
      <c r="I16" s="0" t="n">
        <f aca="false">IFERROR(AVERAGEIFS(Stories!$O$2:$O$500,Stories!$B$2:$B$500,A16),0)/100</f>
        <v>0</v>
      </c>
      <c r="J16" s="10" t="str">
        <f aca="false">IF(COUNTIFS(Stories!$B$2:$B$500,A16,Stories!$L$2:$L$500,"*Blocked*")&gt;0,"🚫 Blocked",IF(I16=1,"✅ Completed",IF(I16&gt;0,"🔄 In Progress","⏳ Planned")))</f>
        <v>⏳ Planned</v>
      </c>
      <c r="K16" s="0" t="str">
        <f aca="false" t="array" ref="K16:K16">_xlfn.TEXTJOIN(", ",TRUE(),IF(Sprint_Epics!$A$2:$A$500=A16,Sprint_Epics!$C$2:$C$500,""))</f>
        <v>ML15</v>
      </c>
      <c r="L16" s="0" t="str">
        <f aca="false" t="array" ref="L16:L16">_xlfn.TEXTJOIN(", ",TRUE(),IF(Sprint_Epics!$A$2:$A$500=A16,IFERROR(INDEX(Milestones!$C$2:$C$25,MATCH(Sprint_Epics!$C$2:$C$500,Milestones!$B$2:$B$25,0)),""),""))</f>
        <v>PH2</v>
      </c>
    </row>
    <row r="17" customFormat="false" ht="23.25" hidden="false" customHeight="true" outlineLevel="0" collapsed="false">
      <c r="A17" s="0" t="s">
        <v>304</v>
      </c>
      <c r="B17" s="0" t="s">
        <v>305</v>
      </c>
      <c r="C17" s="0" t="s">
        <v>110</v>
      </c>
      <c r="D17" s="0" t="s">
        <v>306</v>
      </c>
      <c r="G17" s="0" t="n">
        <v>5</v>
      </c>
      <c r="H17" s="0" t="n">
        <f aca="false">COUNTIFS(Stories!$B$2:B$500,A17,Stories!$L$2:L$500,"*Done*")</f>
        <v>0</v>
      </c>
      <c r="I17" s="0" t="n">
        <f aca="false">IFERROR(AVERAGEIFS(Stories!$O$2:$O$500,Stories!$B$2:$B$500,A17),0)/100</f>
        <v>0</v>
      </c>
      <c r="J17" s="10" t="str">
        <f aca="false">IF(COUNTIFS(Stories!$B$2:$B$500,A17,Stories!$L$2:$L$500,"*Blocked*")&gt;0,"🚫 Blocked",IF(I17=1,"✅ Completed",IF(I17&gt;0,"🔄 In Progress","⏳ Planned")))</f>
        <v>⏳ Planned</v>
      </c>
      <c r="K17" s="0" t="str">
        <f aca="false" t="array" ref="K17:K17">_xlfn.TEXTJOIN(", ",TRUE(),IF(Sprint_Epics!$A$2:$A$500=A17,Sprint_Epics!$C$2:$C$500,""))</f>
        <v>ML16, ML16</v>
      </c>
      <c r="L17" s="0" t="str">
        <f aca="false" t="array" ref="L17:L17">_xlfn.TEXTJOIN(", ",TRUE(),IF(Sprint_Epics!$A$2:$A$500=A17,IFERROR(INDEX(Milestones!$C$2:$C$25,MATCH(Sprint_Epics!$C$2:$C$500,Milestones!$B$2:$B$25,0)),""),""))</f>
        <v>PH2, PH2</v>
      </c>
    </row>
    <row r="18" customFormat="false" ht="23.25" hidden="false" customHeight="true" outlineLevel="0" collapsed="false">
      <c r="A18" s="0" t="s">
        <v>307</v>
      </c>
      <c r="B18" s="0" t="s">
        <v>308</v>
      </c>
      <c r="C18" s="0" t="s">
        <v>309</v>
      </c>
      <c r="D18" s="0" t="s">
        <v>310</v>
      </c>
      <c r="G18" s="0" t="n">
        <v>4</v>
      </c>
      <c r="H18" s="0" t="n">
        <f aca="false">COUNTIFS(Stories!$B$2:B$500,A18,Stories!$L$2:L$500,"*Done*")</f>
        <v>0</v>
      </c>
      <c r="I18" s="0" t="n">
        <f aca="false">IFERROR(AVERAGEIFS(Stories!$O$2:$O$500,Stories!$B$2:$B$500,A18),0)/100</f>
        <v>0</v>
      </c>
      <c r="J18" s="10" t="str">
        <f aca="false">IF(COUNTIFS(Stories!$B$2:$B$500,A18,Stories!$L$2:$L$500,"*Blocked*")&gt;0,"🚫 Blocked",IF(I18=1,"✅ Completed",IF(I18&gt;0,"🔄 In Progress","⏳ Planned")))</f>
        <v>⏳ Planned</v>
      </c>
      <c r="K18" s="0" t="str">
        <f aca="false" t="array" ref="K18:K18">_xlfn.TEXTJOIN(", ",TRUE(),IF(Sprint_Epics!$A$2:$A$500=A18,Sprint_Epics!$C$2:$C$500,""))</f>
        <v>ML17</v>
      </c>
      <c r="L18" s="0" t="str">
        <f aca="false" t="array" ref="L18:L18">_xlfn.TEXTJOIN(", ",TRUE(),IF(Sprint_Epics!$A$2:$A$500=A18,IFERROR(INDEX(Milestones!$C$2:$C$25,MATCH(Sprint_Epics!$C$2:$C$500,Milestones!$B$2:$B$25,0)),""),""))</f>
        <v>PH2</v>
      </c>
    </row>
    <row r="19" customFormat="false" ht="23.25" hidden="false" customHeight="true" outlineLevel="0" collapsed="false">
      <c r="A19" s="0" t="s">
        <v>311</v>
      </c>
      <c r="B19" s="0" t="s">
        <v>312</v>
      </c>
      <c r="C19" s="0" t="s">
        <v>313</v>
      </c>
      <c r="D19" s="0" t="s">
        <v>314</v>
      </c>
      <c r="G19" s="0" t="n">
        <v>5</v>
      </c>
      <c r="H19" s="0" t="n">
        <f aca="false">COUNTIFS(Stories!$B$2:B$500,A19,Stories!$L$2:L$500,"*Done*")</f>
        <v>0</v>
      </c>
      <c r="I19" s="0" t="n">
        <f aca="false">IFERROR(AVERAGEIFS(Stories!$O$2:$O$500,Stories!$B$2:$B$500,A19),0)/100</f>
        <v>0</v>
      </c>
      <c r="J19" s="10" t="str">
        <f aca="false">IF(COUNTIFS(Stories!$B$2:$B$500,A19,Stories!$L$2:$L$500,"*Blocked*")&gt;0,"🚫 Blocked",IF(I19=1,"✅ Completed",IF(I19&gt;0,"🔄 In Progress","⏳ Planned")))</f>
        <v>⏳ Planned</v>
      </c>
      <c r="K19" s="0" t="str">
        <f aca="false" t="array" ref="K19:K19">_xlfn.TEXTJOIN(", ",TRUE(),IF(Sprint_Epics!$A$2:$A$500=A19,Sprint_Epics!$C$2:$C$500,""))</f>
        <v>ML18</v>
      </c>
      <c r="L19" s="0" t="str">
        <f aca="false" t="array" ref="L19:L19">_xlfn.TEXTJOIN(", ",TRUE(),IF(Sprint_Epics!$A$2:$A$500=A19,IFERROR(INDEX(Milestones!$C$2:$C$25,MATCH(Sprint_Epics!$C$2:$C$500,Milestones!$B$2:$B$25,0)),""),""))</f>
        <v>PH2</v>
      </c>
    </row>
    <row r="20" customFormat="false" ht="23.25" hidden="false" customHeight="true" outlineLevel="0" collapsed="false">
      <c r="A20" s="0" t="s">
        <v>315</v>
      </c>
      <c r="B20" s="0" t="s">
        <v>316</v>
      </c>
      <c r="C20" s="0" t="s">
        <v>119</v>
      </c>
      <c r="D20" s="0" t="s">
        <v>317</v>
      </c>
      <c r="G20" s="0" t="n">
        <v>5</v>
      </c>
      <c r="H20" s="0" t="n">
        <f aca="false">COUNTIFS(Stories!$B$2:B$500,A20,Stories!$L$2:L$500,"*Done*")</f>
        <v>0</v>
      </c>
      <c r="I20" s="0" t="n">
        <f aca="false">IFERROR(AVERAGEIFS(Stories!$O$2:$O$500,Stories!$B$2:$B$500,A20),0)/100</f>
        <v>0</v>
      </c>
      <c r="J20" s="10" t="str">
        <f aca="false">IF(COUNTIFS(Stories!$B$2:$B$500,A20,Stories!$L$2:$L$500,"*Blocked*")&gt;0,"🚫 Blocked",IF(I20=1,"✅ Completed",IF(I20&gt;0,"🔄 In Progress","⏳ Planned")))</f>
        <v>⏳ Planned</v>
      </c>
      <c r="K20" s="0" t="str">
        <f aca="false" t="array" ref="K20:K20">_xlfn.TEXTJOIN(", ",TRUE(),IF(Sprint_Epics!$A$2:$A$500=A20,Sprint_Epics!$C$2:$C$500,""))</f>
        <v>ML19, ML19</v>
      </c>
      <c r="L20" s="0" t="str">
        <f aca="false" t="array" ref="L20:L20">_xlfn.TEXTJOIN(", ",TRUE(),IF(Sprint_Epics!$A$2:$A$500=A20,IFERROR(INDEX(Milestones!$C$2:$C$25,MATCH(Sprint_Epics!$C$2:$C$500,Milestones!$B$2:$B$25,0)),""),""))</f>
        <v>PH2, PH2</v>
      </c>
    </row>
    <row r="21" customFormat="false" ht="23.25" hidden="false" customHeight="true" outlineLevel="0" collapsed="false">
      <c r="A21" s="0" t="s">
        <v>318</v>
      </c>
      <c r="B21" s="0" t="s">
        <v>319</v>
      </c>
      <c r="C21" s="0" t="s">
        <v>320</v>
      </c>
      <c r="D21" s="0" t="s">
        <v>321</v>
      </c>
      <c r="G21" s="0" t="n">
        <v>4</v>
      </c>
      <c r="H21" s="0" t="n">
        <f aca="false">COUNTIFS(Stories!$B$2:B$500,A21,Stories!$L$2:L$500,"*Done*")</f>
        <v>0</v>
      </c>
      <c r="I21" s="0" t="n">
        <f aca="false">IFERROR(AVERAGEIFS(Stories!$O$2:$O$500,Stories!$B$2:$B$500,A21),0)/100</f>
        <v>0</v>
      </c>
      <c r="J21" s="10" t="str">
        <f aca="false">IF(COUNTIFS(Stories!$B$2:$B$500,A21,Stories!$L$2:$L$500,"*Blocked*")&gt;0,"🚫 Blocked",IF(I21=1,"✅ Completed",IF(I21&gt;0,"🔄 In Progress","⏳ Planned")))</f>
        <v>⏳ Planned</v>
      </c>
      <c r="K21" s="0" t="str">
        <f aca="false" t="array" ref="K21:K21">_xlfn.TEXTJOIN(", ",TRUE(),IF(Sprint_Epics!$A$2:$A$500=A21,Sprint_Epics!$C$2:$C$500,""))</f>
        <v>ML20, ML20</v>
      </c>
      <c r="L21" s="0" t="str">
        <f aca="false" t="array" ref="L21:L21">_xlfn.TEXTJOIN(", ",TRUE(),IF(Sprint_Epics!$A$2:$A$500=A21,IFERROR(INDEX(Milestones!$C$2:$C$25,MATCH(Sprint_Epics!$C$2:$C$500,Milestones!$B$2:$B$25,0)),""),""))</f>
        <v>PH3, PH3</v>
      </c>
    </row>
    <row r="22" customFormat="false" ht="23.25" hidden="false" customHeight="true" outlineLevel="0" collapsed="false">
      <c r="A22" s="0" t="s">
        <v>322</v>
      </c>
      <c r="B22" s="0" t="s">
        <v>323</v>
      </c>
      <c r="C22" s="0" t="s">
        <v>125</v>
      </c>
      <c r="D22" s="0" t="s">
        <v>324</v>
      </c>
      <c r="G22" s="0" t="n">
        <v>3</v>
      </c>
      <c r="H22" s="0" t="n">
        <f aca="false">COUNTIFS(Stories!$B$2:B$500,A22,Stories!$L$2:L$500,"*Done*")</f>
        <v>0</v>
      </c>
      <c r="I22" s="0" t="n">
        <f aca="false">IFERROR(AVERAGEIFS(Stories!$O$2:$O$500,Stories!$B$2:$B$500,A22),0)/100</f>
        <v>0</v>
      </c>
      <c r="J22" s="10" t="str">
        <f aca="false">IF(COUNTIFS(Stories!$B$2:$B$500,A22,Stories!$L$2:$L$500,"*Blocked*")&gt;0,"🚫 Blocked",IF(I22=1,"✅ Completed",IF(I22&gt;0,"🔄 In Progress","⏳ Planned")))</f>
        <v>⏳ Planned</v>
      </c>
      <c r="K22" s="0" t="str">
        <f aca="false" t="array" ref="K22:K22">_xlfn.TEXTJOIN(", ",TRUE(),IF(Sprint_Epics!$A$2:$A$500=A22,Sprint_Epics!$C$2:$C$500,""))</f>
        <v>ML21, ML21</v>
      </c>
      <c r="L22" s="0" t="str">
        <f aca="false" t="array" ref="L22:L22">_xlfn.TEXTJOIN(", ",TRUE(),IF(Sprint_Epics!$A$2:$A$500=A22,IFERROR(INDEX(Milestones!$C$2:$C$25,MATCH(Sprint_Epics!$C$2:$C$500,Milestones!$B$2:$B$25,0)),""),""))</f>
        <v>PH3, PH3</v>
      </c>
    </row>
    <row r="23" customFormat="false" ht="23.25" hidden="false" customHeight="true" outlineLevel="0" collapsed="false">
      <c r="A23" s="0" t="s">
        <v>325</v>
      </c>
      <c r="B23" s="0" t="s">
        <v>326</v>
      </c>
      <c r="C23" s="0" t="s">
        <v>128</v>
      </c>
      <c r="D23" s="0" t="s">
        <v>327</v>
      </c>
      <c r="G23" s="0" t="n">
        <v>2</v>
      </c>
      <c r="H23" s="0" t="n">
        <f aca="false">COUNTIFS(Stories!$B$2:B$500,A23,Stories!$L$2:L$500,"*Done*")</f>
        <v>0</v>
      </c>
      <c r="I23" s="0" t="n">
        <f aca="false">IFERROR(AVERAGEIFS(Stories!$O$2:$O$500,Stories!$B$2:$B$500,A23),0)/100</f>
        <v>0</v>
      </c>
      <c r="J23" s="10" t="str">
        <f aca="false">IF(COUNTIFS(Stories!$B$2:$B$500,A23,Stories!$L$2:$L$500,"*Blocked*")&gt;0,"🚫 Blocked",IF(I23=1,"✅ Completed",IF(I23&gt;0,"🔄 In Progress","⏳ Planned")))</f>
        <v>⏳ Planned</v>
      </c>
      <c r="K23" s="0" t="str">
        <f aca="false" t="array" ref="K23:K23">_xlfn.TEXTJOIN(", ",TRUE(),IF(Sprint_Epics!$A$2:$A$500=A23,Sprint_Epics!$C$2:$C$500,""))</f>
        <v>ML22, ML22</v>
      </c>
      <c r="L23" s="0" t="str">
        <f aca="false" t="array" ref="L23:L23">_xlfn.TEXTJOIN(", ",TRUE(),IF(Sprint_Epics!$A$2:$A$500=A23,IFERROR(INDEX(Milestones!$C$2:$C$25,MATCH(Sprint_Epics!$C$2:$C$500,Milestones!$B$2:$B$25,0)),""),""))</f>
        <v>PH3, PH3</v>
      </c>
    </row>
    <row r="24" customFormat="false" ht="23.25" hidden="false" customHeight="true" outlineLevel="0" collapsed="false">
      <c r="A24" s="0" t="s">
        <v>328</v>
      </c>
      <c r="B24" s="0" t="s">
        <v>329</v>
      </c>
      <c r="C24" s="0" t="s">
        <v>330</v>
      </c>
      <c r="D24" s="0" t="s">
        <v>331</v>
      </c>
      <c r="G24" s="0" t="n">
        <v>2</v>
      </c>
      <c r="H24" s="0" t="n">
        <f aca="false">COUNTIFS(Stories!$B$2:B$500,A24,Stories!$L$2:L$500,"*Done*")</f>
        <v>0</v>
      </c>
      <c r="I24" s="0" t="n">
        <f aca="false">IFERROR(AVERAGEIFS(Stories!$O$2:$O$500,Stories!$B$2:$B$500,A24),0)/100</f>
        <v>0</v>
      </c>
      <c r="J24" s="10" t="str">
        <f aca="false">IF(COUNTIFS(Stories!$B$2:$B$500,A24,Stories!$L$2:$L$500,"*Blocked*")&gt;0,"🚫 Blocked",IF(I24=1,"✅ Completed",IF(I24&gt;0,"🔄 In Progress","⏳ Planned")))</f>
        <v>⏳ Planned</v>
      </c>
      <c r="K24" s="0" t="str">
        <f aca="false" t="array" ref="K24:K24">_xlfn.TEXTJOIN(", ",TRUE(),IF(Sprint_Epics!$A$2:$A$500=A24,Sprint_Epics!$C$2:$C$500,""))</f>
        <v>ML23, ML23</v>
      </c>
      <c r="L24" s="0" t="str">
        <f aca="false" t="array" ref="L24:L24">_xlfn.TEXTJOIN(", ",TRUE(),IF(Sprint_Epics!$A$2:$A$500=A24,IFERROR(INDEX(Milestones!$C$2:$C$25,MATCH(Sprint_Epics!$C$2:$C$500,Milestones!$B$2:$B$25,0)),""),""))</f>
        <v>PH3, PH3</v>
      </c>
    </row>
    <row r="25" customFormat="false" ht="23.25" hidden="false" customHeight="true" outlineLevel="0" collapsed="false">
      <c r="A25" s="0" t="s">
        <v>332</v>
      </c>
      <c r="B25" s="0" t="s">
        <v>333</v>
      </c>
      <c r="C25" s="0" t="s">
        <v>134</v>
      </c>
      <c r="D25" s="0" t="s">
        <v>334</v>
      </c>
      <c r="G25" s="0" t="n">
        <v>2</v>
      </c>
      <c r="H25" s="0" t="n">
        <f aca="false">COUNTIFS(Stories!$B$2:B$500,A25,Stories!$L$2:L$500,"*Done*")</f>
        <v>0</v>
      </c>
      <c r="I25" s="0" t="n">
        <f aca="false">IFERROR(AVERAGEIFS(Stories!$O$2:$O$500,Stories!$B$2:$B$500,A25),0)/100</f>
        <v>0</v>
      </c>
      <c r="J25" s="10" t="str">
        <f aca="false">IF(COUNTIFS(Stories!$B$2:$B$500,A25,Stories!$L$2:$L$500,"*Blocked*")&gt;0,"🚫 Blocked",IF(I25=1,"✅ Completed",IF(I25&gt;0,"🔄 In Progress","⏳ Planned")))</f>
        <v>⏳ Planned</v>
      </c>
      <c r="K25" s="0" t="str">
        <f aca="false" t="array" ref="K25:K25">_xlfn.TEXTJOIN(", ",TRUE(),IF(Sprint_Epics!$A$2:$A$500=A25,Sprint_Epics!$C$2:$C$500,""))</f>
        <v>ML24</v>
      </c>
      <c r="L25" s="0" t="str">
        <f aca="false" t="array" ref="L25:L25">_xlfn.TEXTJOIN(", ",TRUE(),IF(Sprint_Epics!$A$2:$A$500=A25,IFERROR(INDEX(Milestones!$C$2:$C$25,MATCH(Sprint_Epics!$C$2:$C$500,Milestones!$B$2:$B$25,0)),""),""))</f>
        <v>PH4</v>
      </c>
    </row>
    <row r="26" customFormat="false" ht="23.25" hidden="false" customHeight="true" outlineLevel="0" collapsed="false">
      <c r="J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{D06994F3-2B35-41A4-89FF-60E8CF5DE33B}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D06994F3-2B35-41A4-89FF-60E8CF5DE33B}">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30" hidden="false" customHeight="true" outlineLevel="0" collapsed="false">
      <c r="A1" s="4" t="s">
        <v>250</v>
      </c>
      <c r="B1" s="4" t="s">
        <v>137</v>
      </c>
      <c r="C1" s="4" t="s">
        <v>136</v>
      </c>
    </row>
    <row r="2" customFormat="false" ht="15" hidden="false" customHeight="true" outlineLevel="0" collapsed="false">
      <c r="A2" s="0" t="s">
        <v>259</v>
      </c>
      <c r="B2" s="0" t="s">
        <v>139</v>
      </c>
      <c r="C2" s="0" t="str">
        <f aca="false">IFERROR(INDEX(Epics!$B$2:$B$100,MATCH(B2,Epics!$C$2:$C$100,0)),"")</f>
        <v>ML1</v>
      </c>
    </row>
    <row r="3" customFormat="false" ht="15" hidden="false" customHeight="true" outlineLevel="0" collapsed="false">
      <c r="A3" s="0" t="s">
        <v>262</v>
      </c>
      <c r="B3" s="0" t="s">
        <v>141</v>
      </c>
      <c r="C3" s="0" t="str">
        <f aca="false">IFERROR(INDEX(Epics!$B$2:$B$100,MATCH(B3,Epics!$C$2:$C$100,0)),"")</f>
        <v>ML2</v>
      </c>
    </row>
    <row r="4" customFormat="false" ht="15" hidden="false" customHeight="true" outlineLevel="0" collapsed="false">
      <c r="A4" s="0" t="s">
        <v>262</v>
      </c>
      <c r="B4" s="0" t="s">
        <v>144</v>
      </c>
      <c r="C4" s="0" t="str">
        <f aca="false">IFERROR(INDEX(Epics!$B$2:$B$100,MATCH(B4,Epics!$C$2:$C$100,0)),"")</f>
        <v>ML2</v>
      </c>
    </row>
    <row r="5" customFormat="false" ht="15" hidden="false" customHeight="true" outlineLevel="0" collapsed="false">
      <c r="A5" s="0" t="s">
        <v>262</v>
      </c>
      <c r="B5" s="0" t="s">
        <v>147</v>
      </c>
      <c r="C5" s="0" t="str">
        <f aca="false">IFERROR(INDEX(Epics!$B$2:$B$100,MATCH(B5,Epics!$C$2:$C$100,0)),"")</f>
        <v>ML2</v>
      </c>
    </row>
    <row r="6" customFormat="false" ht="15" hidden="false" customHeight="true" outlineLevel="0" collapsed="false">
      <c r="A6" s="0" t="s">
        <v>262</v>
      </c>
      <c r="B6" s="0" t="s">
        <v>150</v>
      </c>
      <c r="C6" s="0" t="str">
        <f aca="false">IFERROR(INDEX(Epics!$B$2:$B$100,MATCH(B6,Epics!$C$2:$C$100,0)),"")</f>
        <v>ML2</v>
      </c>
    </row>
    <row r="7" customFormat="false" ht="15" hidden="false" customHeight="true" outlineLevel="0" collapsed="false">
      <c r="A7" s="0" t="s">
        <v>265</v>
      </c>
      <c r="B7" s="0" t="s">
        <v>153</v>
      </c>
      <c r="C7" s="0" t="str">
        <f aca="false">IFERROR(INDEX(Epics!$B$2:$B$100,MATCH(B7,Epics!$C$2:$C$100,0)),"")</f>
        <v>ML3</v>
      </c>
    </row>
    <row r="8" customFormat="false" ht="15" hidden="false" customHeight="true" outlineLevel="0" collapsed="false">
      <c r="A8" s="0" t="s">
        <v>268</v>
      </c>
      <c r="B8" s="0" t="s">
        <v>156</v>
      </c>
      <c r="C8" s="0" t="str">
        <f aca="false">IFERROR(INDEX(Epics!$B$2:$B$100,MATCH(B8,Epics!$C$2:$C$100,0)),"")</f>
        <v>ML4</v>
      </c>
    </row>
    <row r="9" customFormat="false" ht="15" hidden="false" customHeight="true" outlineLevel="0" collapsed="false">
      <c r="A9" s="0" t="s">
        <v>271</v>
      </c>
      <c r="B9" s="0" t="s">
        <v>159</v>
      </c>
      <c r="C9" s="0" t="str">
        <f aca="false">IFERROR(INDEX(Epics!$B$2:$B$100,MATCH(B9,Epics!$C$2:$C$100,0)),"")</f>
        <v>ML5</v>
      </c>
    </row>
    <row r="10" customFormat="false" ht="15" hidden="false" customHeight="true" outlineLevel="0" collapsed="false">
      <c r="A10" s="0" t="s">
        <v>274</v>
      </c>
      <c r="B10" s="0" t="s">
        <v>162</v>
      </c>
      <c r="C10" s="0" t="str">
        <f aca="false">IFERROR(INDEX(Epics!$B$2:$B$100,MATCH(B10,Epics!$C$2:$C$100,0)),"")</f>
        <v>ML6</v>
      </c>
    </row>
    <row r="11" customFormat="false" ht="15" hidden="false" customHeight="true" outlineLevel="0" collapsed="false">
      <c r="A11" s="0" t="s">
        <v>277</v>
      </c>
      <c r="B11" s="0" t="s">
        <v>165</v>
      </c>
      <c r="C11" s="0" t="str">
        <f aca="false">IFERROR(INDEX(Epics!$B$2:$B$100,MATCH(B11,Epics!$C$2:$C$100,0)),"")</f>
        <v>ML7</v>
      </c>
    </row>
    <row r="12" customFormat="false" ht="15" hidden="false" customHeight="true" outlineLevel="0" collapsed="false">
      <c r="A12" s="0" t="s">
        <v>277</v>
      </c>
      <c r="B12" s="0" t="s">
        <v>168</v>
      </c>
      <c r="C12" s="0" t="str">
        <f aca="false">IFERROR(INDEX(Epics!$B$2:$B$100,MATCH(B12,Epics!$C$2:$C$100,0)),"")</f>
        <v>ML7</v>
      </c>
    </row>
    <row r="13" customFormat="false" ht="15" hidden="false" customHeight="true" outlineLevel="0" collapsed="false">
      <c r="A13" s="0" t="s">
        <v>280</v>
      </c>
      <c r="B13" s="0" t="s">
        <v>171</v>
      </c>
      <c r="C13" s="0" t="str">
        <f aca="false">IFERROR(INDEX(Epics!$B$2:$B$100,MATCH(B13,Epics!$C$2:$C$100,0)),"")</f>
        <v>ML8</v>
      </c>
    </row>
    <row r="14" customFormat="false" ht="15" hidden="false" customHeight="true" outlineLevel="0" collapsed="false">
      <c r="A14" s="0" t="s">
        <v>280</v>
      </c>
      <c r="B14" s="0" t="s">
        <v>174</v>
      </c>
      <c r="C14" s="0" t="str">
        <f aca="false">IFERROR(INDEX(Epics!$B$2:$B$100,MATCH(B14,Epics!$C$2:$C$100,0)),"")</f>
        <v>ML8</v>
      </c>
    </row>
    <row r="15" customFormat="false" ht="15" hidden="false" customHeight="true" outlineLevel="0" collapsed="false">
      <c r="A15" s="0" t="s">
        <v>283</v>
      </c>
      <c r="B15" s="0" t="s">
        <v>177</v>
      </c>
      <c r="C15" s="0" t="str">
        <f aca="false">IFERROR(INDEX(Epics!$B$2:$B$100,MATCH(B15,Epics!$C$2:$C$100,0)),"")</f>
        <v>ML9</v>
      </c>
    </row>
    <row r="16" customFormat="false" ht="15" hidden="false" customHeight="true" outlineLevel="0" collapsed="false">
      <c r="A16" s="0" t="s">
        <v>286</v>
      </c>
      <c r="B16" s="0" t="s">
        <v>180</v>
      </c>
      <c r="C16" s="0" t="str">
        <f aca="false">IFERROR(INDEX(Epics!$B$2:$B$100,MATCH(B16,Epics!$C$2:$C$100,0)),"")</f>
        <v>ML10</v>
      </c>
    </row>
    <row r="17" customFormat="false" ht="15" hidden="false" customHeight="true" outlineLevel="0" collapsed="false">
      <c r="A17" s="0" t="s">
        <v>289</v>
      </c>
      <c r="B17" s="0" t="s">
        <v>183</v>
      </c>
      <c r="C17" s="0" t="str">
        <f aca="false">IFERROR(INDEX(Epics!$B$2:$B$100,MATCH(B17,Epics!$C$2:$C$100,0)),"")</f>
        <v>ML11</v>
      </c>
    </row>
    <row r="18" customFormat="false" ht="15" hidden="false" customHeight="true" outlineLevel="0" collapsed="false">
      <c r="A18" s="0" t="s">
        <v>292</v>
      </c>
      <c r="B18" s="0" t="s">
        <v>186</v>
      </c>
      <c r="C18" s="0" t="str">
        <f aca="false">IFERROR(INDEX(Epics!$B$2:$B$100,MATCH(B18,Epics!$C$2:$C$100,0)),"")</f>
        <v>ML12</v>
      </c>
    </row>
    <row r="19" customFormat="false" ht="15" hidden="false" customHeight="true" outlineLevel="0" collapsed="false">
      <c r="A19" s="0" t="s">
        <v>292</v>
      </c>
      <c r="B19" s="0" t="s">
        <v>189</v>
      </c>
      <c r="C19" s="0" t="str">
        <f aca="false">IFERROR(INDEX(Epics!$B$2:$B$100,MATCH(B19,Epics!$C$2:$C$100,0)),"")</f>
        <v>ML12</v>
      </c>
    </row>
    <row r="20" customFormat="false" ht="15" hidden="false" customHeight="true" outlineLevel="0" collapsed="false">
      <c r="A20" s="0" t="s">
        <v>292</v>
      </c>
      <c r="B20" s="0" t="s">
        <v>192</v>
      </c>
      <c r="C20" s="0" t="str">
        <f aca="false">IFERROR(INDEX(Epics!$B$2:$B$100,MATCH(B20,Epics!$C$2:$C$100,0)),"")</f>
        <v>ML12</v>
      </c>
    </row>
    <row r="21" customFormat="false" ht="15" hidden="false" customHeight="true" outlineLevel="0" collapsed="false">
      <c r="A21" s="0" t="s">
        <v>295</v>
      </c>
      <c r="B21" s="0" t="s">
        <v>195</v>
      </c>
      <c r="C21" s="0" t="str">
        <f aca="false">IFERROR(INDEX(Epics!$B$2:$B$100,MATCH(B21,Epics!$C$2:$C$100,0)),"")</f>
        <v>ML13</v>
      </c>
    </row>
    <row r="22" customFormat="false" ht="15" hidden="false" customHeight="true" outlineLevel="0" collapsed="false">
      <c r="A22" s="0" t="s">
        <v>295</v>
      </c>
      <c r="B22" s="0" t="s">
        <v>198</v>
      </c>
      <c r="C22" s="0" t="str">
        <f aca="false">IFERROR(INDEX(Epics!$B$2:$B$100,MATCH(B22,Epics!$C$2:$C$100,0)),"")</f>
        <v>ML13</v>
      </c>
    </row>
    <row r="23" customFormat="false" ht="15" hidden="false" customHeight="true" outlineLevel="0" collapsed="false">
      <c r="A23" s="0" t="s">
        <v>298</v>
      </c>
      <c r="B23" s="0" t="s">
        <v>201</v>
      </c>
      <c r="C23" s="0" t="str">
        <f aca="false">IFERROR(INDEX(Epics!$B$2:$B$100,MATCH(B23,Epics!$C$2:$C$100,0)),"")</f>
        <v>ML14</v>
      </c>
    </row>
    <row r="24" customFormat="false" ht="15" hidden="false" customHeight="true" outlineLevel="0" collapsed="false">
      <c r="A24" s="0" t="s">
        <v>301</v>
      </c>
      <c r="B24" s="0" t="s">
        <v>203</v>
      </c>
      <c r="C24" s="0" t="str">
        <f aca="false">IFERROR(INDEX(Epics!$B$2:$B$100,MATCH(B24,Epics!$C$2:$C$100,0)),"")</f>
        <v>ML15</v>
      </c>
    </row>
    <row r="25" customFormat="false" ht="15" hidden="false" customHeight="true" outlineLevel="0" collapsed="false">
      <c r="A25" s="0" t="s">
        <v>304</v>
      </c>
      <c r="B25" s="0" t="s">
        <v>206</v>
      </c>
      <c r="C25" s="0" t="str">
        <f aca="false">IFERROR(INDEX(Epics!$B$2:$B$100,MATCH(B25,Epics!$C$2:$C$100,0)),"")</f>
        <v>ML16</v>
      </c>
    </row>
    <row r="26" customFormat="false" ht="15" hidden="false" customHeight="true" outlineLevel="0" collapsed="false">
      <c r="A26" s="0" t="s">
        <v>304</v>
      </c>
      <c r="B26" s="0" t="s">
        <v>209</v>
      </c>
      <c r="C26" s="0" t="str">
        <f aca="false">IFERROR(INDEX(Epics!$B$2:$B$100,MATCH(B26,Epics!$C$2:$C$100,0)),"")</f>
        <v>ML16</v>
      </c>
    </row>
    <row r="27" customFormat="false" ht="15" hidden="false" customHeight="true" outlineLevel="0" collapsed="false">
      <c r="A27" s="0" t="s">
        <v>307</v>
      </c>
      <c r="B27" s="0" t="s">
        <v>212</v>
      </c>
      <c r="C27" s="0" t="str">
        <f aca="false">IFERROR(INDEX(Epics!$B$2:$B$100,MATCH(B27,Epics!$C$2:$C$100,0)),"")</f>
        <v>ML17</v>
      </c>
    </row>
    <row r="28" customFormat="false" ht="15" hidden="false" customHeight="true" outlineLevel="0" collapsed="false">
      <c r="A28" s="0" t="s">
        <v>311</v>
      </c>
      <c r="B28" s="0" t="s">
        <v>215</v>
      </c>
      <c r="C28" s="0" t="str">
        <f aca="false">IFERROR(INDEX(Epics!$B$2:$B$100,MATCH(B28,Epics!$C$2:$C$100,0)),"")</f>
        <v>ML18</v>
      </c>
    </row>
    <row r="29" customFormat="false" ht="15" hidden="false" customHeight="true" outlineLevel="0" collapsed="false">
      <c r="A29" s="0" t="s">
        <v>315</v>
      </c>
      <c r="B29" s="0" t="s">
        <v>218</v>
      </c>
      <c r="C29" s="0" t="str">
        <f aca="false">IFERROR(INDEX(Epics!$B$2:$B$100,MATCH(B29,Epics!$C$2:$C$100,0)),"")</f>
        <v>ML19</v>
      </c>
    </row>
    <row r="30" customFormat="false" ht="15" hidden="false" customHeight="true" outlineLevel="0" collapsed="false">
      <c r="A30" s="0" t="s">
        <v>315</v>
      </c>
      <c r="B30" s="0" t="s">
        <v>221</v>
      </c>
      <c r="C30" s="0" t="str">
        <f aca="false">IFERROR(INDEX(Epics!$B$2:$B$100,MATCH(B30,Epics!$C$2:$C$100,0)),"")</f>
        <v>ML19</v>
      </c>
    </row>
    <row r="31" customFormat="false" ht="15" hidden="false" customHeight="true" outlineLevel="0" collapsed="false">
      <c r="A31" s="0" t="s">
        <v>318</v>
      </c>
      <c r="B31" s="0" t="s">
        <v>224</v>
      </c>
      <c r="C31" s="0" t="str">
        <f aca="false">IFERROR(INDEX(Epics!$B$2:$B$100,MATCH(B31,Epics!$C$2:$C$100,0)),"")</f>
        <v>ML20</v>
      </c>
    </row>
    <row r="32" customFormat="false" ht="15" hidden="false" customHeight="true" outlineLevel="0" collapsed="false">
      <c r="A32" s="0" t="s">
        <v>318</v>
      </c>
      <c r="B32" s="0" t="s">
        <v>226</v>
      </c>
      <c r="C32" s="0" t="str">
        <f aca="false">IFERROR(INDEX(Epics!$B$2:$B$100,MATCH(B32,Epics!$C$2:$C$100,0)),"")</f>
        <v>ML20</v>
      </c>
    </row>
    <row r="33" customFormat="false" ht="15" hidden="false" customHeight="true" outlineLevel="0" collapsed="false">
      <c r="A33" s="0" t="s">
        <v>322</v>
      </c>
      <c r="B33" s="0" t="s">
        <v>229</v>
      </c>
      <c r="C33" s="0" t="str">
        <f aca="false">IFERROR(INDEX(Epics!$B$2:$B$100,MATCH(B33,Epics!$C$2:$C$100,0)),"")</f>
        <v>ML21</v>
      </c>
    </row>
    <row r="34" customFormat="false" ht="15" hidden="false" customHeight="true" outlineLevel="0" collapsed="false">
      <c r="A34" s="0" t="s">
        <v>322</v>
      </c>
      <c r="B34" s="0" t="s">
        <v>232</v>
      </c>
      <c r="C34" s="0" t="str">
        <f aca="false">IFERROR(INDEX(Epics!$B$2:$B$100,MATCH(B34,Epics!$C$2:$C$100,0)),"")</f>
        <v>ML21</v>
      </c>
    </row>
    <row r="35" customFormat="false" ht="15" hidden="false" customHeight="true" outlineLevel="0" collapsed="false">
      <c r="A35" s="0" t="s">
        <v>325</v>
      </c>
      <c r="B35" s="0" t="s">
        <v>235</v>
      </c>
      <c r="C35" s="0" t="str">
        <f aca="false">IFERROR(INDEX(Epics!$B$2:$B$100,MATCH(B35,Epics!$C$2:$C$100,0)),"")</f>
        <v>ML22</v>
      </c>
    </row>
    <row r="36" customFormat="false" ht="15" hidden="false" customHeight="true" outlineLevel="0" collapsed="false">
      <c r="A36" s="0" t="s">
        <v>325</v>
      </c>
      <c r="B36" s="0" t="s">
        <v>238</v>
      </c>
      <c r="C36" s="0" t="str">
        <f aca="false">IFERROR(INDEX(Epics!$B$2:$B$100,MATCH(B36,Epics!$C$2:$C$100,0)),"")</f>
        <v>ML22</v>
      </c>
    </row>
    <row r="37" customFormat="false" ht="15" hidden="false" customHeight="true" outlineLevel="0" collapsed="false">
      <c r="A37" s="0" t="s">
        <v>328</v>
      </c>
      <c r="B37" s="0" t="s">
        <v>241</v>
      </c>
      <c r="C37" s="0" t="str">
        <f aca="false">IFERROR(INDEX(Epics!$B$2:$B$100,MATCH(B37,Epics!$C$2:$C$100,0)),"")</f>
        <v>ML23</v>
      </c>
    </row>
    <row r="38" customFormat="false" ht="15" hidden="false" customHeight="true" outlineLevel="0" collapsed="false">
      <c r="A38" s="0" t="s">
        <v>328</v>
      </c>
      <c r="B38" s="0" t="s">
        <v>244</v>
      </c>
      <c r="C38" s="0" t="str">
        <f aca="false">IFERROR(INDEX(Epics!$B$2:$B$100,MATCH(B38,Epics!$C$2:$C$100,0)),"")</f>
        <v>ML23</v>
      </c>
    </row>
    <row r="39" customFormat="false" ht="15" hidden="false" customHeight="true" outlineLevel="0" collapsed="false">
      <c r="A39" s="0" t="s">
        <v>332</v>
      </c>
      <c r="B39" s="0" t="s">
        <v>247</v>
      </c>
      <c r="C39" s="0" t="str">
        <f aca="false">IFERROR(INDEX(Epics!$B$2:$B$100,MATCH(B39,Epics!$C$2:$C$100,0)),"")</f>
        <v>ML24</v>
      </c>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5"/>
  <sheetViews>
    <sheetView showFormulas="false" showGridLines="true" showRowColHeaders="true" showZeros="true" rightToLeft="false" tabSelected="true" showOutlineSymbols="true" defaultGridColor="true" view="normal" topLeftCell="A1" colorId="64" zoomScale="150" zoomScaleNormal="150" zoomScalePageLayoutView="100" workbookViewId="0">
      <pane xSplit="0" ySplit="1" topLeftCell="A19" activePane="bottomLeft" state="frozen"/>
      <selection pane="topLeft" activeCell="A1" activeCellId="0" sqref="A1"/>
      <selection pane="bottomLeft" activeCell="G21" activeCellId="0" sqref="G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30"/>
    <col collapsed="false" customWidth="true" hidden="false" outlineLevel="0" max="7" min="7" style="0" width="55"/>
    <col collapsed="false" customWidth="true" hidden="false" outlineLevel="0" max="8" min="8" style="0" width="10"/>
    <col collapsed="false" customWidth="true" hidden="false" outlineLevel="0" max="9" min="9" style="0" width="14"/>
    <col collapsed="false" customWidth="true" hidden="false" outlineLevel="0" max="11" min="10" style="0" width="12"/>
    <col collapsed="false" customWidth="true" hidden="false" outlineLevel="0" max="12" min="12" style="0" width="16"/>
    <col collapsed="false" customWidth="true" hidden="false" outlineLevel="0" max="13" min="13" style="0" width="12"/>
    <col collapsed="false" customWidth="true" hidden="false" outlineLevel="0" max="14" min="14" style="0" width="30"/>
    <col collapsed="false" customWidth="true" hidden="false" outlineLevel="0" max="15" min="15" style="0" width="12"/>
  </cols>
  <sheetData>
    <row r="1" customFormat="false" ht="30" hidden="false" customHeight="true" outlineLevel="0" collapsed="false">
      <c r="A1" s="4" t="s">
        <v>335</v>
      </c>
      <c r="B1" s="4" t="s">
        <v>250</v>
      </c>
      <c r="C1" s="4" t="s">
        <v>137</v>
      </c>
      <c r="D1" s="4" t="s">
        <v>136</v>
      </c>
      <c r="E1" s="4" t="s">
        <v>38</v>
      </c>
      <c r="F1" s="4" t="s">
        <v>336</v>
      </c>
      <c r="G1" s="4" t="s">
        <v>39</v>
      </c>
      <c r="H1" s="4" t="s">
        <v>337</v>
      </c>
      <c r="I1" s="4" t="s">
        <v>338</v>
      </c>
      <c r="J1" s="4" t="s">
        <v>339</v>
      </c>
      <c r="K1" s="4" t="s">
        <v>340</v>
      </c>
      <c r="L1" s="4" t="s">
        <v>13</v>
      </c>
      <c r="M1" s="4" t="s">
        <v>341</v>
      </c>
      <c r="N1" s="4" t="s">
        <v>342</v>
      </c>
      <c r="O1" s="4" t="s">
        <v>18</v>
      </c>
    </row>
    <row r="2" customFormat="false" ht="57" hidden="false" customHeight="true" outlineLevel="0" collapsed="false">
      <c r="A2" s="0" t="s">
        <v>343</v>
      </c>
      <c r="B2" s="0" t="s">
        <v>259</v>
      </c>
      <c r="C2" s="0" t="s">
        <v>139</v>
      </c>
      <c r="D2" s="0" t="str">
        <f aca="false">IFERROR(INDEX(Epics!$B$2:B$100,MATCH(C2,Epics!$C$2:C$100,0)),"")</f>
        <v>ML1</v>
      </c>
      <c r="E2" s="0" t="str">
        <f aca="false">IFERROR(INDEX(Milestones!$C$2:$C$25,MATCH(D2,Milestones!$B$2:$B$25,0)),"")</f>
        <v>PH1</v>
      </c>
      <c r="F2" s="0" t="s">
        <v>344</v>
      </c>
      <c r="G2" s="14" t="s">
        <v>345</v>
      </c>
      <c r="H2" s="0" t="s">
        <v>346</v>
      </c>
      <c r="L2" s="10" t="s">
        <v>19</v>
      </c>
      <c r="O2" s="0" t="n">
        <f aca="false">_xlfn.IFS(ISNUMBER(SEARCH("Done",L2)),100,ISNUMBER(SEARCH("In Progress",L2)),50,TRUE(),0)</f>
        <v>100</v>
      </c>
    </row>
    <row r="3" customFormat="false" ht="90.75" hidden="false" customHeight="true" outlineLevel="0" collapsed="false">
      <c r="A3" s="0" t="s">
        <v>347</v>
      </c>
      <c r="B3" s="0" t="s">
        <v>259</v>
      </c>
      <c r="C3" s="0" t="s">
        <v>139</v>
      </c>
      <c r="D3" s="0" t="str">
        <f aca="false">IFERROR(INDEX(Epics!$B$2:B$100,MATCH(C3,Epics!$C$2:C$100,0)),"")</f>
        <v>ML1</v>
      </c>
      <c r="E3" s="0" t="str">
        <f aca="false">IFERROR(INDEX(Milestones!$C$2:$C$25,MATCH(D3,Milestones!$B$2:$B$25,0)),"")</f>
        <v>PH1</v>
      </c>
      <c r="F3" s="0" t="s">
        <v>348</v>
      </c>
      <c r="G3" s="14" t="s">
        <v>349</v>
      </c>
      <c r="H3" s="0" t="s">
        <v>346</v>
      </c>
      <c r="L3" s="10" t="s">
        <v>19</v>
      </c>
      <c r="N3" s="0" t="s">
        <v>343</v>
      </c>
      <c r="O3" s="0" t="n">
        <f aca="false">_xlfn.IFS(ISNUMBER(SEARCH("Done",L3)),100,ISNUMBER(SEARCH("In Progress",L3)),50,TRUE(),0)</f>
        <v>100</v>
      </c>
    </row>
    <row r="4" customFormat="false" ht="68.25" hidden="false" customHeight="true" outlineLevel="0" collapsed="false">
      <c r="A4" s="0" t="s">
        <v>350</v>
      </c>
      <c r="B4" s="0" t="s">
        <v>259</v>
      </c>
      <c r="C4" s="0" t="s">
        <v>139</v>
      </c>
      <c r="D4" s="0" t="str">
        <f aca="false">IFERROR(INDEX(Epics!$B$2:B$100,MATCH(C4,Epics!$C$2:C$100,0)),"")</f>
        <v>ML1</v>
      </c>
      <c r="E4" s="0" t="str">
        <f aca="false">IFERROR(INDEX(Milestones!$C$2:$C$25,MATCH(D4,Milestones!$B$2:$B$25,0)),"")</f>
        <v>PH1</v>
      </c>
      <c r="F4" s="0" t="s">
        <v>351</v>
      </c>
      <c r="G4" s="14" t="s">
        <v>352</v>
      </c>
      <c r="H4" s="0" t="s">
        <v>346</v>
      </c>
      <c r="L4" s="10" t="s">
        <v>19</v>
      </c>
      <c r="N4" s="0" t="s">
        <v>347</v>
      </c>
      <c r="O4" s="0" t="n">
        <f aca="false">_xlfn.IFS(ISNUMBER(SEARCH("Done",L4)),100,ISNUMBER(SEARCH("In Progress",L4)),50,TRUE(),0)</f>
        <v>100</v>
      </c>
    </row>
    <row r="5" customFormat="false" ht="57" hidden="false" customHeight="true" outlineLevel="0" collapsed="false">
      <c r="A5" s="0" t="s">
        <v>353</v>
      </c>
      <c r="B5" s="0" t="s">
        <v>259</v>
      </c>
      <c r="C5" s="0" t="s">
        <v>139</v>
      </c>
      <c r="D5" s="0" t="str">
        <f aca="false">IFERROR(INDEX(Epics!$B$2:B$100,MATCH(C5,Epics!$C$2:C$100,0)),"")</f>
        <v>ML1</v>
      </c>
      <c r="E5" s="0" t="str">
        <f aca="false">IFERROR(INDEX(Milestones!$C$2:$C$25,MATCH(D5,Milestones!$B$2:$B$25,0)),"")</f>
        <v>PH1</v>
      </c>
      <c r="F5" s="0" t="s">
        <v>354</v>
      </c>
      <c r="G5" s="14" t="s">
        <v>355</v>
      </c>
      <c r="H5" s="0" t="s">
        <v>346</v>
      </c>
      <c r="L5" s="10" t="s">
        <v>19</v>
      </c>
      <c r="N5" s="0" t="s">
        <v>350</v>
      </c>
      <c r="O5" s="0" t="n">
        <f aca="false">_xlfn.IFS(ISNUMBER(SEARCH("Done",L5)),100,ISNUMBER(SEARCH("In Progress",L5)),50,TRUE(),0)</f>
        <v>100</v>
      </c>
    </row>
    <row r="6" customFormat="false" ht="68.25" hidden="false" customHeight="true" outlineLevel="0" collapsed="false">
      <c r="A6" s="0" t="s">
        <v>356</v>
      </c>
      <c r="B6" s="0" t="s">
        <v>259</v>
      </c>
      <c r="C6" s="0" t="s">
        <v>139</v>
      </c>
      <c r="D6" s="0" t="str">
        <f aca="false">IFERROR(INDEX(Epics!$B$2:B$100,MATCH(C6,Epics!$C$2:C$100,0)),"")</f>
        <v>ML1</v>
      </c>
      <c r="E6" s="0" t="str">
        <f aca="false">IFERROR(INDEX(Milestones!$C$2:$C$25,MATCH(D6,Milestones!$B$2:$B$25,0)),"")</f>
        <v>PH1</v>
      </c>
      <c r="F6" s="0" t="s">
        <v>357</v>
      </c>
      <c r="G6" s="14" t="s">
        <v>358</v>
      </c>
      <c r="H6" s="0" t="s">
        <v>346</v>
      </c>
      <c r="L6" s="10" t="s">
        <v>19</v>
      </c>
      <c r="N6" s="0" t="s">
        <v>350</v>
      </c>
      <c r="O6" s="0" t="n">
        <f aca="false">_xlfn.IFS(ISNUMBER(SEARCH("Done",L6)),100,ISNUMBER(SEARCH("In Progress",L6)),50,TRUE(),0)</f>
        <v>100</v>
      </c>
    </row>
    <row r="7" customFormat="false" ht="57" hidden="false" customHeight="true" outlineLevel="0" collapsed="false">
      <c r="A7" s="0" t="s">
        <v>359</v>
      </c>
      <c r="B7" s="0" t="s">
        <v>259</v>
      </c>
      <c r="C7" s="0" t="s">
        <v>139</v>
      </c>
      <c r="D7" s="0" t="str">
        <f aca="false">IFERROR(INDEX(Epics!$B$2:B$100,MATCH(C7,Epics!$C$2:C$100,0)),"")</f>
        <v>ML1</v>
      </c>
      <c r="E7" s="0" t="str">
        <f aca="false">IFERROR(INDEX(Milestones!$C$2:$C$25,MATCH(D7,Milestones!$B$2:$B$25,0)),"")</f>
        <v>PH1</v>
      </c>
      <c r="F7" s="0" t="s">
        <v>360</v>
      </c>
      <c r="G7" s="14" t="s">
        <v>361</v>
      </c>
      <c r="H7" s="0" t="s">
        <v>346</v>
      </c>
      <c r="L7" s="10" t="s">
        <v>19</v>
      </c>
      <c r="N7" s="0" t="s">
        <v>343</v>
      </c>
      <c r="O7" s="0" t="n">
        <f aca="false">_xlfn.IFS(ISNUMBER(SEARCH("Done",L7)),100,ISNUMBER(SEARCH("In Progress",L7)),50,TRUE(),0)</f>
        <v>100</v>
      </c>
    </row>
    <row r="8" customFormat="false" ht="57" hidden="false" customHeight="true" outlineLevel="0" collapsed="false">
      <c r="A8" s="0" t="s">
        <v>362</v>
      </c>
      <c r="B8" s="0" t="s">
        <v>259</v>
      </c>
      <c r="C8" s="0" t="s">
        <v>139</v>
      </c>
      <c r="D8" s="0" t="str">
        <f aca="false">IFERROR(INDEX(Epics!$B$2:B$100,MATCH(C8,Epics!$C$2:C$100,0)),"")</f>
        <v>ML1</v>
      </c>
      <c r="E8" s="0" t="str">
        <f aca="false">IFERROR(INDEX(Milestones!$C$2:$C$25,MATCH(D8,Milestones!$B$2:$B$25,0)),"")</f>
        <v>PH1</v>
      </c>
      <c r="F8" s="0" t="s">
        <v>363</v>
      </c>
      <c r="G8" s="14" t="s">
        <v>364</v>
      </c>
      <c r="H8" s="0" t="s">
        <v>346</v>
      </c>
      <c r="L8" s="10" t="s">
        <v>19</v>
      </c>
      <c r="N8" s="0" t="s">
        <v>350</v>
      </c>
      <c r="O8" s="0" t="n">
        <f aca="false">_xlfn.IFS(ISNUMBER(SEARCH("Done",L8)),100,ISNUMBER(SEARCH("In Progress",L8)),50,TRUE(),0)</f>
        <v>100</v>
      </c>
    </row>
    <row r="9" customFormat="false" ht="57" hidden="false" customHeight="true" outlineLevel="0" collapsed="false">
      <c r="A9" s="0" t="s">
        <v>365</v>
      </c>
      <c r="B9" s="0" t="s">
        <v>259</v>
      </c>
      <c r="C9" s="0" t="s">
        <v>139</v>
      </c>
      <c r="D9" s="0" t="str">
        <f aca="false">IFERROR(INDEX(Epics!$B$2:B$100,MATCH(C9,Epics!$C$2:C$100,0)),"")</f>
        <v>ML1</v>
      </c>
      <c r="E9" s="0" t="str">
        <f aca="false">IFERROR(INDEX(Milestones!$C$2:$C$25,MATCH(D9,Milestones!$B$2:$B$25,0)),"")</f>
        <v>PH1</v>
      </c>
      <c r="F9" s="0" t="s">
        <v>366</v>
      </c>
      <c r="G9" s="14" t="s">
        <v>367</v>
      </c>
      <c r="H9" s="0" t="s">
        <v>368</v>
      </c>
      <c r="L9" s="10" t="s">
        <v>19</v>
      </c>
      <c r="N9" s="0" t="s">
        <v>347</v>
      </c>
      <c r="O9" s="0" t="n">
        <f aca="false">_xlfn.IFS(ISNUMBER(SEARCH("Done",L9)),100,ISNUMBER(SEARCH("In Progress",L9)),50,TRUE(),0)</f>
        <v>100</v>
      </c>
    </row>
    <row r="10" customFormat="false" ht="57" hidden="false" customHeight="true" outlineLevel="0" collapsed="false">
      <c r="A10" s="0" t="s">
        <v>369</v>
      </c>
      <c r="B10" s="0" t="s">
        <v>259</v>
      </c>
      <c r="C10" s="0" t="s">
        <v>139</v>
      </c>
      <c r="D10" s="0" t="str">
        <f aca="false">IFERROR(INDEX(Epics!$B$2:B$100,MATCH(C10,Epics!$C$2:C$100,0)),"")</f>
        <v>ML1</v>
      </c>
      <c r="E10" s="0" t="str">
        <f aca="false">IFERROR(INDEX(Milestones!$C$2:$C$25,MATCH(D10,Milestones!$B$2:$B$25,0)),"")</f>
        <v>PH1</v>
      </c>
      <c r="F10" s="0" t="s">
        <v>370</v>
      </c>
      <c r="G10" s="14" t="s">
        <v>371</v>
      </c>
      <c r="H10" s="0" t="s">
        <v>346</v>
      </c>
      <c r="L10" s="10" t="s">
        <v>19</v>
      </c>
      <c r="N10" s="0" t="s">
        <v>343</v>
      </c>
      <c r="O10" s="0" t="n">
        <f aca="false">_xlfn.IFS(ISNUMBER(SEARCH("Done",L10)),100,ISNUMBER(SEARCH("In Progress",L10)),50,TRUE(),0)</f>
        <v>100</v>
      </c>
    </row>
    <row r="11" customFormat="false" ht="135.75" hidden="false" customHeight="true" outlineLevel="0" collapsed="false">
      <c r="A11" s="0" t="s">
        <v>372</v>
      </c>
      <c r="B11" s="0" t="s">
        <v>259</v>
      </c>
      <c r="C11" s="0" t="s">
        <v>139</v>
      </c>
      <c r="D11" s="0" t="str">
        <f aca="false">IFERROR(INDEX(Epics!$B$2:B$100,MATCH(C11,Epics!$C$2:C$100,0)),"")</f>
        <v>ML1</v>
      </c>
      <c r="E11" s="0" t="str">
        <f aca="false">IFERROR(INDEX(Milestones!$C$2:$C$25,MATCH(D11,Milestones!$B$2:$B$25,0)),"")</f>
        <v>PH1</v>
      </c>
      <c r="F11" s="0" t="s">
        <v>373</v>
      </c>
      <c r="G11" s="14" t="s">
        <v>374</v>
      </c>
      <c r="H11" s="0" t="s">
        <v>346</v>
      </c>
      <c r="L11" s="10" t="s">
        <v>19</v>
      </c>
      <c r="N11" s="0" t="s">
        <v>369</v>
      </c>
      <c r="O11" s="0" t="n">
        <f aca="false">_xlfn.IFS(ISNUMBER(SEARCH("Done",L11)),100,ISNUMBER(SEARCH("In Progress",L11)),50,TRUE(),0)</f>
        <v>100</v>
      </c>
    </row>
    <row r="12" customFormat="false" ht="68.25" hidden="false" customHeight="true" outlineLevel="0" collapsed="false">
      <c r="A12" s="0" t="s">
        <v>375</v>
      </c>
      <c r="B12" s="0" t="s">
        <v>259</v>
      </c>
      <c r="C12" s="0" t="s">
        <v>139</v>
      </c>
      <c r="D12" s="0" t="str">
        <f aca="false">IFERROR(INDEX(Epics!$B$2:B$100,MATCH(C12,Epics!$C$2:C$100,0)),"")</f>
        <v>ML1</v>
      </c>
      <c r="E12" s="0" t="str">
        <f aca="false">IFERROR(INDEX(Milestones!$C$2:$C$25,MATCH(D12,Milestones!$B$2:$B$25,0)),"")</f>
        <v>PH1</v>
      </c>
      <c r="F12" s="0" t="s">
        <v>376</v>
      </c>
      <c r="G12" s="14" t="s">
        <v>377</v>
      </c>
      <c r="H12" s="0" t="s">
        <v>368</v>
      </c>
      <c r="L12" s="10" t="s">
        <v>19</v>
      </c>
      <c r="N12" s="0" t="s">
        <v>347</v>
      </c>
      <c r="O12" s="0" t="n">
        <f aca="false">_xlfn.IFS(ISNUMBER(SEARCH("Done",L12)),100,ISNUMBER(SEARCH("In Progress",L12)),50,TRUE(),0)</f>
        <v>100</v>
      </c>
    </row>
    <row r="13" customFormat="false" ht="79.5" hidden="false" customHeight="true" outlineLevel="0" collapsed="false">
      <c r="A13" s="0" t="s">
        <v>378</v>
      </c>
      <c r="B13" s="0" t="s">
        <v>259</v>
      </c>
      <c r="C13" s="0" t="s">
        <v>139</v>
      </c>
      <c r="D13" s="0" t="str">
        <f aca="false">IFERROR(INDEX(Epics!$B$2:B$100,MATCH(C13,Epics!$C$2:C$100,0)),"")</f>
        <v>ML1</v>
      </c>
      <c r="E13" s="0" t="str">
        <f aca="false">IFERROR(INDEX(Milestones!$C$2:$C$25,MATCH(D13,Milestones!$B$2:$B$25,0)),"")</f>
        <v>PH1</v>
      </c>
      <c r="F13" s="0" t="s">
        <v>379</v>
      </c>
      <c r="G13" s="14" t="s">
        <v>380</v>
      </c>
      <c r="H13" s="0" t="s">
        <v>368</v>
      </c>
      <c r="L13" s="10" t="s">
        <v>19</v>
      </c>
      <c r="N13" s="0" t="s">
        <v>350</v>
      </c>
      <c r="O13" s="0" t="n">
        <f aca="false">_xlfn.IFS(ISNUMBER(SEARCH("Done",L13)),100,ISNUMBER(SEARCH("In Progress",L13)),50,TRUE(),0)</f>
        <v>100</v>
      </c>
    </row>
    <row r="14" customFormat="false" ht="113.25" hidden="false" customHeight="true" outlineLevel="0" collapsed="false">
      <c r="A14" s="0" t="s">
        <v>381</v>
      </c>
      <c r="B14" s="0" t="s">
        <v>259</v>
      </c>
      <c r="C14" s="0" t="s">
        <v>139</v>
      </c>
      <c r="D14" s="0" t="str">
        <f aca="false">IFERROR(INDEX(Epics!$B$2:B$100,MATCH(C14,Epics!$C$2:C$100,0)),"")</f>
        <v>ML1</v>
      </c>
      <c r="E14" s="0" t="str">
        <f aca="false">IFERROR(INDEX(Milestones!$C$2:$C$25,MATCH(D14,Milestones!$B$2:$B$25,0)),"")</f>
        <v>PH1</v>
      </c>
      <c r="F14" s="0" t="s">
        <v>382</v>
      </c>
      <c r="G14" s="14" t="s">
        <v>383</v>
      </c>
      <c r="H14" s="0" t="s">
        <v>368</v>
      </c>
      <c r="L14" s="10" t="s">
        <v>19</v>
      </c>
      <c r="N14" s="0" t="s">
        <v>378</v>
      </c>
      <c r="O14" s="0" t="n">
        <f aca="false">_xlfn.IFS(ISNUMBER(SEARCH("Done",L14)),100,ISNUMBER(SEARCH("In Progress",L14)),50,TRUE(),0)</f>
        <v>100</v>
      </c>
    </row>
    <row r="15" customFormat="false" ht="147" hidden="false" customHeight="true" outlineLevel="0" collapsed="false">
      <c r="A15" s="0" t="s">
        <v>384</v>
      </c>
      <c r="B15" s="0" t="s">
        <v>259</v>
      </c>
      <c r="C15" s="0" t="s">
        <v>139</v>
      </c>
      <c r="D15" s="0" t="str">
        <f aca="false">IFERROR(INDEX(Epics!$B$2:B$100,MATCH(C15,Epics!$C$2:C$100,0)),"")</f>
        <v>ML1</v>
      </c>
      <c r="E15" s="0" t="str">
        <f aca="false">IFERROR(INDEX(Milestones!$C$2:$C$25,MATCH(D15,Milestones!$B$2:$B$25,0)),"")</f>
        <v>PH1</v>
      </c>
      <c r="F15" s="0" t="s">
        <v>385</v>
      </c>
      <c r="G15" s="14" t="s">
        <v>386</v>
      </c>
      <c r="H15" s="0" t="s">
        <v>368</v>
      </c>
      <c r="L15" s="10" t="s">
        <v>19</v>
      </c>
      <c r="N15" s="0" t="s">
        <v>365</v>
      </c>
      <c r="O15" s="0" t="n">
        <f aca="false">_xlfn.IFS(ISNUMBER(SEARCH("Done",L15)),100,ISNUMBER(SEARCH("In Progress",L15)),50,TRUE(),0)</f>
        <v>100</v>
      </c>
    </row>
    <row r="16" customFormat="false" ht="124.5" hidden="false" customHeight="true" outlineLevel="0" collapsed="false">
      <c r="A16" s="0" t="s">
        <v>387</v>
      </c>
      <c r="B16" s="0" t="s">
        <v>259</v>
      </c>
      <c r="C16" s="0" t="s">
        <v>139</v>
      </c>
      <c r="D16" s="0" t="str">
        <f aca="false">IFERROR(INDEX(Epics!$B$2:B$100,MATCH(C16,Epics!$C$2:C$100,0)),"")</f>
        <v>ML1</v>
      </c>
      <c r="E16" s="0" t="str">
        <f aca="false">IFERROR(INDEX(Milestones!$C$2:$C$25,MATCH(D16,Milestones!$B$2:$B$25,0)),"")</f>
        <v>PH1</v>
      </c>
      <c r="F16" s="0" t="s">
        <v>388</v>
      </c>
      <c r="G16" s="14" t="s">
        <v>389</v>
      </c>
      <c r="H16" s="0" t="s">
        <v>368</v>
      </c>
      <c r="L16" s="10" t="s">
        <v>19</v>
      </c>
      <c r="N16" s="0" t="s">
        <v>343</v>
      </c>
      <c r="O16" s="0" t="n">
        <f aca="false">_xlfn.IFS(ISNUMBER(SEARCH("Done",L16)),100,ISNUMBER(SEARCH("In Progress",L16)),50,TRUE(),0)</f>
        <v>100</v>
      </c>
    </row>
    <row r="17" customFormat="false" ht="102" hidden="false" customHeight="true" outlineLevel="0" collapsed="false">
      <c r="A17" s="0" t="s">
        <v>390</v>
      </c>
      <c r="B17" s="0" t="s">
        <v>259</v>
      </c>
      <c r="C17" s="0" t="s">
        <v>139</v>
      </c>
      <c r="D17" s="0" t="str">
        <f aca="false">IFERROR(INDEX(Epics!$B$2:B$100,MATCH(C17,Epics!$C$2:C$100,0)),"")</f>
        <v>ML1</v>
      </c>
      <c r="E17" s="0" t="str">
        <f aca="false">IFERROR(INDEX(Milestones!$C$2:$C$25,MATCH(D17,Milestones!$B$2:$B$25,0)),"")</f>
        <v>PH1</v>
      </c>
      <c r="F17" s="0" t="s">
        <v>391</v>
      </c>
      <c r="G17" s="14" t="s">
        <v>392</v>
      </c>
      <c r="H17" s="0" t="s">
        <v>368</v>
      </c>
      <c r="L17" s="10" t="s">
        <v>19</v>
      </c>
      <c r="N17" s="0" t="s">
        <v>343</v>
      </c>
      <c r="O17" s="0" t="n">
        <f aca="false">_xlfn.IFS(ISNUMBER(SEARCH("Done",L17)),100,ISNUMBER(SEARCH("In Progress",L17)),50,TRUE(),0)</f>
        <v>100</v>
      </c>
    </row>
    <row r="18" customFormat="false" ht="102" hidden="false" customHeight="true" outlineLevel="0" collapsed="false">
      <c r="A18" s="0" t="s">
        <v>393</v>
      </c>
      <c r="B18" s="0" t="s">
        <v>259</v>
      </c>
      <c r="C18" s="0" t="s">
        <v>139</v>
      </c>
      <c r="D18" s="0" t="str">
        <f aca="false">IFERROR(INDEX(Epics!$B$2:B$100,MATCH(C18,Epics!$C$2:C$100,0)),"")</f>
        <v>ML1</v>
      </c>
      <c r="E18" s="0" t="str">
        <f aca="false">IFERROR(INDEX(Milestones!$C$2:$C$25,MATCH(D18,Milestones!$B$2:$B$25,0)),"")</f>
        <v>PH1</v>
      </c>
      <c r="F18" s="0" t="s">
        <v>394</v>
      </c>
      <c r="G18" s="14" t="s">
        <v>395</v>
      </c>
      <c r="H18" s="0" t="s">
        <v>368</v>
      </c>
      <c r="L18" s="10" t="s">
        <v>19</v>
      </c>
      <c r="N18" s="0" t="s">
        <v>343</v>
      </c>
      <c r="O18" s="0" t="n">
        <f aca="false">_xlfn.IFS(ISNUMBER(SEARCH("Done",L18)),100,ISNUMBER(SEARCH("In Progress",L18)),50,TRUE(),0)</f>
        <v>100</v>
      </c>
    </row>
    <row r="19" customFormat="false" ht="135.75" hidden="false" customHeight="true" outlineLevel="0" collapsed="false">
      <c r="A19" s="0" t="s">
        <v>396</v>
      </c>
      <c r="B19" s="0" t="s">
        <v>259</v>
      </c>
      <c r="C19" s="0" t="s">
        <v>139</v>
      </c>
      <c r="D19" s="0" t="str">
        <f aca="false">IFERROR(INDEX(Epics!$B$2:B$100,MATCH(C19,Epics!$C$2:C$100,0)),"")</f>
        <v>ML1</v>
      </c>
      <c r="E19" s="0" t="str">
        <f aca="false">IFERROR(INDEX(Milestones!$C$2:$C$25,MATCH(D19,Milestones!$B$2:$B$25,0)),"")</f>
        <v>PH1</v>
      </c>
      <c r="F19" s="0" t="s">
        <v>397</v>
      </c>
      <c r="G19" s="14" t="s">
        <v>398</v>
      </c>
      <c r="H19" s="0" t="s">
        <v>399</v>
      </c>
      <c r="L19" s="10" t="s">
        <v>19</v>
      </c>
      <c r="N19" s="0" t="s">
        <v>400</v>
      </c>
      <c r="O19" s="0" t="n">
        <f aca="false">_xlfn.IFS(ISNUMBER(SEARCH("Done",L19)),100,ISNUMBER(SEARCH("In Progress",L19)),50,TRUE(),0)</f>
        <v>100</v>
      </c>
    </row>
    <row r="20" customFormat="false" ht="116.25" hidden="false" customHeight="true" outlineLevel="0" collapsed="false">
      <c r="A20" s="0" t="s">
        <v>401</v>
      </c>
      <c r="B20" s="0" t="s">
        <v>262</v>
      </c>
      <c r="C20" s="0" t="s">
        <v>141</v>
      </c>
      <c r="D20" s="0" t="str">
        <f aca="false">IFERROR(INDEX(Epics!$B$2:B$100,MATCH(C20,Epics!$C$2:C$100,0)),"")</f>
        <v>ML2</v>
      </c>
      <c r="E20" s="0" t="str">
        <f aca="false">IFERROR(INDEX(Milestones!$C$2:$C$25,MATCH(D20,Milestones!$B$2:$B$25,0)),"")</f>
        <v>PH2</v>
      </c>
      <c r="F20" s="0" t="s">
        <v>402</v>
      </c>
      <c r="G20" s="14" t="s">
        <v>403</v>
      </c>
      <c r="H20" s="0" t="s">
        <v>346</v>
      </c>
      <c r="L20" s="0" t="s">
        <v>48</v>
      </c>
      <c r="N20" s="0" t="s">
        <v>378</v>
      </c>
      <c r="O20" s="0" t="n">
        <f aca="false">_xlfn.IFS(ISNUMBER(SEARCH("Done",L20)),100,ISNUMBER(SEARCH("In Progress",L20)),50,TRUE(),0)</f>
        <v>0</v>
      </c>
    </row>
    <row r="21" customFormat="false" ht="109.5" hidden="false" customHeight="true" outlineLevel="0" collapsed="false">
      <c r="A21" s="0" t="s">
        <v>404</v>
      </c>
      <c r="B21" s="0" t="s">
        <v>262</v>
      </c>
      <c r="C21" s="0" t="s">
        <v>141</v>
      </c>
      <c r="D21" s="0" t="str">
        <f aca="false">IFERROR(INDEX(Epics!$B$2:B$100,MATCH(C21,Epics!$C$2:C$100,0)),"")</f>
        <v>ML2</v>
      </c>
      <c r="E21" s="0" t="str">
        <f aca="false">IFERROR(INDEX(Milestones!$C$2:$C$25,MATCH(D21,Milestones!$B$2:$B$25,0)),"")</f>
        <v>PH2</v>
      </c>
      <c r="F21" s="0" t="s">
        <v>405</v>
      </c>
      <c r="G21" s="14" t="s">
        <v>406</v>
      </c>
      <c r="H21" s="0" t="s">
        <v>346</v>
      </c>
      <c r="L21" s="0" t="s">
        <v>48</v>
      </c>
      <c r="N21" s="0" t="s">
        <v>401</v>
      </c>
      <c r="O21" s="0" t="n">
        <f aca="false">_xlfn.IFS(ISNUMBER(SEARCH("Done",L21)),100,ISNUMBER(SEARCH("In Progress",L21)),50,TRUE(),0)</f>
        <v>0</v>
      </c>
    </row>
    <row r="22" customFormat="false" ht="93.75" hidden="false" customHeight="true" outlineLevel="0" collapsed="false">
      <c r="A22" s="0" t="s">
        <v>407</v>
      </c>
      <c r="B22" s="0" t="s">
        <v>262</v>
      </c>
      <c r="C22" s="0" t="s">
        <v>141</v>
      </c>
      <c r="D22" s="0" t="str">
        <f aca="false">IFERROR(INDEX(Epics!$B$2:B$100,MATCH(C22,Epics!$C$2:C$100,0)),"")</f>
        <v>ML2</v>
      </c>
      <c r="E22" s="0" t="str">
        <f aca="false">IFERROR(INDEX(Milestones!$C$2:$C$25,MATCH(D22,Milestones!$B$2:$B$25,0)),"")</f>
        <v>PH2</v>
      </c>
      <c r="F22" s="0" t="s">
        <v>408</v>
      </c>
      <c r="G22" s="14" t="s">
        <v>409</v>
      </c>
      <c r="H22" s="0" t="s">
        <v>346</v>
      </c>
      <c r="L22" s="0" t="s">
        <v>48</v>
      </c>
      <c r="N22" s="0" t="s">
        <v>404</v>
      </c>
      <c r="O22" s="0" t="n">
        <f aca="false">_xlfn.IFS(ISNUMBER(SEARCH("Done",L22)),100,ISNUMBER(SEARCH("In Progress",L22)),50,TRUE(),0)</f>
        <v>0</v>
      </c>
    </row>
    <row r="23" customFormat="false" ht="84.75" hidden="false" customHeight="true" outlineLevel="0" collapsed="false">
      <c r="A23" s="0" t="s">
        <v>410</v>
      </c>
      <c r="B23" s="0" t="s">
        <v>262</v>
      </c>
      <c r="C23" s="0" t="s">
        <v>141</v>
      </c>
      <c r="D23" s="0" t="str">
        <f aca="false">IFERROR(INDEX(Epics!$B$2:B$100,MATCH(C23,Epics!$C$2:C$100,0)),"")</f>
        <v>ML2</v>
      </c>
      <c r="E23" s="0" t="str">
        <f aca="false">IFERROR(INDEX(Milestones!$C$2:$C$25,MATCH(D23,Milestones!$B$2:$B$25,0)),"")</f>
        <v>PH2</v>
      </c>
      <c r="F23" s="0" t="s">
        <v>411</v>
      </c>
      <c r="G23" s="14" t="s">
        <v>412</v>
      </c>
      <c r="H23" s="0" t="s">
        <v>346</v>
      </c>
      <c r="L23" s="0" t="s">
        <v>48</v>
      </c>
      <c r="N23" s="0" t="s">
        <v>401</v>
      </c>
      <c r="O23" s="0" t="n">
        <f aca="false">_xlfn.IFS(ISNUMBER(SEARCH("Done",L23)),100,ISNUMBER(SEARCH("In Progress",L23)),50,TRUE(),0)</f>
        <v>0</v>
      </c>
    </row>
    <row r="24" customFormat="false" ht="77.25" hidden="false" customHeight="true" outlineLevel="0" collapsed="false">
      <c r="A24" s="0" t="s">
        <v>413</v>
      </c>
      <c r="B24" s="0" t="s">
        <v>262</v>
      </c>
      <c r="C24" s="0" t="s">
        <v>144</v>
      </c>
      <c r="D24" s="0" t="str">
        <f aca="false">IFERROR(INDEX(Epics!$B$2:B$100,MATCH(C24,Epics!$C$2:C$100,0)),"")</f>
        <v>ML2</v>
      </c>
      <c r="E24" s="0" t="str">
        <f aca="false">IFERROR(INDEX(Milestones!$C$2:$C$25,MATCH(D24,Milestones!$B$2:$B$25,0)),"")</f>
        <v>PH2</v>
      </c>
      <c r="F24" s="0" t="s">
        <v>414</v>
      </c>
      <c r="G24" s="14" t="s">
        <v>415</v>
      </c>
      <c r="H24" s="0" t="s">
        <v>346</v>
      </c>
      <c r="L24" s="0" t="s">
        <v>48</v>
      </c>
      <c r="N24" s="0" t="s">
        <v>416</v>
      </c>
      <c r="O24" s="0" t="n">
        <f aca="false">_xlfn.IFS(ISNUMBER(SEARCH("Done",L24)),100,ISNUMBER(SEARCH("In Progress",L24)),50,TRUE(),0)</f>
        <v>0</v>
      </c>
    </row>
    <row r="25" customFormat="false" ht="103.5" hidden="false" customHeight="true" outlineLevel="0" collapsed="false">
      <c r="A25" s="0" t="s">
        <v>417</v>
      </c>
      <c r="B25" s="0" t="s">
        <v>262</v>
      </c>
      <c r="C25" s="0" t="s">
        <v>144</v>
      </c>
      <c r="D25" s="0" t="str">
        <f aca="false">IFERROR(INDEX(Epics!$B$2:B$100,MATCH(C25,Epics!$C$2:C$100,0)),"")</f>
        <v>ML2</v>
      </c>
      <c r="E25" s="0" t="str">
        <f aca="false">IFERROR(INDEX(Milestones!$C$2:$C$25,MATCH(D25,Milestones!$B$2:$B$25,0)),"")</f>
        <v>PH2</v>
      </c>
      <c r="F25" s="0" t="s">
        <v>418</v>
      </c>
      <c r="G25" s="14" t="s">
        <v>419</v>
      </c>
      <c r="H25" s="0" t="s">
        <v>368</v>
      </c>
      <c r="L25" s="0" t="s">
        <v>48</v>
      </c>
      <c r="N25" s="0" t="s">
        <v>413</v>
      </c>
      <c r="O25" s="0" t="n">
        <f aca="false">_xlfn.IFS(ISNUMBER(SEARCH("Done",L25)),100,ISNUMBER(SEARCH("In Progress",L25)),50,TRUE(),0)</f>
        <v>0</v>
      </c>
    </row>
    <row r="26" customFormat="false" ht="93.75" hidden="false" customHeight="true" outlineLevel="0" collapsed="false">
      <c r="A26" s="0" t="s">
        <v>420</v>
      </c>
      <c r="B26" s="0" t="s">
        <v>262</v>
      </c>
      <c r="C26" s="0" t="s">
        <v>147</v>
      </c>
      <c r="D26" s="0" t="str">
        <f aca="false">IFERROR(INDEX(Epics!$B$2:B$100,MATCH(C26,Epics!$C$2:C$100,0)),"")</f>
        <v>ML2</v>
      </c>
      <c r="E26" s="0" t="str">
        <f aca="false">IFERROR(INDEX(Milestones!$C$2:$C$25,MATCH(D26,Milestones!$B$2:$B$25,0)),"")</f>
        <v>PH2</v>
      </c>
      <c r="F26" s="0" t="s">
        <v>421</v>
      </c>
      <c r="G26" s="14" t="s">
        <v>422</v>
      </c>
      <c r="H26" s="0" t="s">
        <v>346</v>
      </c>
      <c r="L26" s="0" t="s">
        <v>48</v>
      </c>
      <c r="N26" s="0" t="s">
        <v>413</v>
      </c>
      <c r="O26" s="0" t="n">
        <f aca="false">_xlfn.IFS(ISNUMBER(SEARCH("Done",L26)),100,ISNUMBER(SEARCH("In Progress",L26)),50,TRUE(),0)</f>
        <v>0</v>
      </c>
    </row>
    <row r="27" customFormat="false" ht="92.25" hidden="false" customHeight="true" outlineLevel="0" collapsed="false">
      <c r="A27" s="0" t="s">
        <v>423</v>
      </c>
      <c r="B27" s="0" t="s">
        <v>262</v>
      </c>
      <c r="C27" s="0" t="s">
        <v>150</v>
      </c>
      <c r="D27" s="0" t="str">
        <f aca="false">IFERROR(INDEX(Epics!$B$2:B$100,MATCH(C27,Epics!$C$2:C$100,0)),"")</f>
        <v>ML2</v>
      </c>
      <c r="E27" s="0" t="str">
        <f aca="false">IFERROR(INDEX(Milestones!$C$2:$C$25,MATCH(D27,Milestones!$B$2:$B$25,0)),"")</f>
        <v>PH2</v>
      </c>
      <c r="F27" s="0" t="s">
        <v>424</v>
      </c>
      <c r="G27" s="14" t="s">
        <v>425</v>
      </c>
      <c r="H27" s="0" t="s">
        <v>346</v>
      </c>
      <c r="L27" s="0" t="s">
        <v>48</v>
      </c>
      <c r="N27" s="0" t="s">
        <v>426</v>
      </c>
      <c r="O27" s="0" t="n">
        <f aca="false">_xlfn.IFS(ISNUMBER(SEARCH("Done",L27)),100,ISNUMBER(SEARCH("In Progress",L27)),50,TRUE(),0)</f>
        <v>0</v>
      </c>
    </row>
    <row r="28" customFormat="false" ht="87" hidden="false" customHeight="true" outlineLevel="0" collapsed="false">
      <c r="A28" s="0" t="s">
        <v>427</v>
      </c>
      <c r="B28" s="0" t="s">
        <v>262</v>
      </c>
      <c r="C28" s="0" t="s">
        <v>150</v>
      </c>
      <c r="D28" s="0" t="str">
        <f aca="false">IFERROR(INDEX(Epics!$B$2:B$100,MATCH(C28,Epics!$C$2:C$100,0)),"")</f>
        <v>ML2</v>
      </c>
      <c r="E28" s="0" t="str">
        <f aca="false">IFERROR(INDEX(Milestones!$C$2:$C$25,MATCH(D28,Milestones!$B$2:$B$25,0)),"")</f>
        <v>PH2</v>
      </c>
      <c r="F28" s="0" t="s">
        <v>428</v>
      </c>
      <c r="G28" s="14" t="s">
        <v>429</v>
      </c>
      <c r="H28" s="0" t="s">
        <v>368</v>
      </c>
      <c r="L28" s="0" t="s">
        <v>48</v>
      </c>
      <c r="N28" s="0" t="s">
        <v>430</v>
      </c>
      <c r="O28" s="0" t="n">
        <f aca="false">_xlfn.IFS(ISNUMBER(SEARCH("Done",L28)),100,ISNUMBER(SEARCH("In Progress",L28)),50,TRUE(),0)</f>
        <v>0</v>
      </c>
    </row>
    <row r="29" customFormat="false" ht="78.75" hidden="false" customHeight="true" outlineLevel="0" collapsed="false">
      <c r="A29" s="0" t="s">
        <v>431</v>
      </c>
      <c r="B29" s="0" t="s">
        <v>265</v>
      </c>
      <c r="C29" s="0" t="s">
        <v>153</v>
      </c>
      <c r="D29" s="0" t="str">
        <f aca="false">IFERROR(INDEX(Epics!$B$2:B$100,MATCH(C29,Epics!$C$2:C$100,0)),"")</f>
        <v>ML3</v>
      </c>
      <c r="E29" s="0" t="str">
        <f aca="false">IFERROR(INDEX(Milestones!$C$2:$C$25,MATCH(D29,Milestones!$B$2:$B$25,0)),"")</f>
        <v>PH2</v>
      </c>
      <c r="F29" s="0" t="s">
        <v>432</v>
      </c>
      <c r="G29" s="14" t="s">
        <v>433</v>
      </c>
      <c r="H29" s="0" t="s">
        <v>346</v>
      </c>
      <c r="L29" s="0" t="s">
        <v>48</v>
      </c>
      <c r="N29" s="0" t="s">
        <v>343</v>
      </c>
      <c r="O29" s="0" t="n">
        <f aca="false">_xlfn.IFS(ISNUMBER(SEARCH("Done",L29)),100,ISNUMBER(SEARCH("In Progress",L29)),50,TRUE(),0)</f>
        <v>0</v>
      </c>
    </row>
    <row r="30" customFormat="false" ht="69" hidden="false" customHeight="true" outlineLevel="0" collapsed="false">
      <c r="A30" s="0" t="s">
        <v>434</v>
      </c>
      <c r="B30" s="0" t="s">
        <v>265</v>
      </c>
      <c r="C30" s="0" t="s">
        <v>153</v>
      </c>
      <c r="D30" s="0" t="str">
        <f aca="false">IFERROR(INDEX(Epics!$B$2:B$100,MATCH(C30,Epics!$C$2:C$100,0)),"")</f>
        <v>ML3</v>
      </c>
      <c r="E30" s="0" t="str">
        <f aca="false">IFERROR(INDEX(Milestones!$C$2:$C$25,MATCH(D30,Milestones!$B$2:$B$25,0)),"")</f>
        <v>PH2</v>
      </c>
      <c r="F30" s="0" t="s">
        <v>435</v>
      </c>
      <c r="G30" s="14" t="s">
        <v>436</v>
      </c>
      <c r="H30" s="0" t="s">
        <v>346</v>
      </c>
      <c r="L30" s="0" t="s">
        <v>48</v>
      </c>
      <c r="N30" s="0" t="s">
        <v>431</v>
      </c>
      <c r="O30" s="0" t="n">
        <f aca="false">_xlfn.IFS(ISNUMBER(SEARCH("Done",L30)),100,ISNUMBER(SEARCH("In Progress",L30)),50,TRUE(),0)</f>
        <v>0</v>
      </c>
    </row>
    <row r="31" customFormat="false" ht="79.5" hidden="false" customHeight="true" outlineLevel="0" collapsed="false">
      <c r="A31" s="0" t="s">
        <v>437</v>
      </c>
      <c r="B31" s="0" t="s">
        <v>265</v>
      </c>
      <c r="C31" s="0" t="s">
        <v>153</v>
      </c>
      <c r="D31" s="0" t="str">
        <f aca="false">IFERROR(INDEX(Epics!$B$2:B$100,MATCH(C31,Epics!$C$2:C$100,0)),"")</f>
        <v>ML3</v>
      </c>
      <c r="E31" s="0" t="str">
        <f aca="false">IFERROR(INDEX(Milestones!$C$2:$C$25,MATCH(D31,Milestones!$B$2:$B$25,0)),"")</f>
        <v>PH2</v>
      </c>
      <c r="F31" s="0" t="s">
        <v>438</v>
      </c>
      <c r="G31" s="14" t="s">
        <v>439</v>
      </c>
      <c r="H31" s="0" t="s">
        <v>346</v>
      </c>
      <c r="L31" s="0" t="s">
        <v>48</v>
      </c>
      <c r="N31" s="0" t="s">
        <v>431</v>
      </c>
      <c r="O31" s="0" t="n">
        <f aca="false">_xlfn.IFS(ISNUMBER(SEARCH("Done",L31)),100,ISNUMBER(SEARCH("In Progress",L31)),50,TRUE(),0)</f>
        <v>0</v>
      </c>
    </row>
    <row r="32" customFormat="false" ht="95.25" hidden="false" customHeight="true" outlineLevel="0" collapsed="false">
      <c r="A32" s="0" t="s">
        <v>440</v>
      </c>
      <c r="B32" s="0" t="s">
        <v>265</v>
      </c>
      <c r="C32" s="0" t="s">
        <v>153</v>
      </c>
      <c r="D32" s="0" t="str">
        <f aca="false">IFERROR(INDEX(Epics!$B$2:B$100,MATCH(C32,Epics!$C$2:C$100,0)),"")</f>
        <v>ML3</v>
      </c>
      <c r="E32" s="0" t="str">
        <f aca="false">IFERROR(INDEX(Milestones!$C$2:$C$25,MATCH(D32,Milestones!$B$2:$B$25,0)),"")</f>
        <v>PH2</v>
      </c>
      <c r="F32" s="0" t="s">
        <v>441</v>
      </c>
      <c r="G32" s="14" t="s">
        <v>442</v>
      </c>
      <c r="H32" s="0" t="s">
        <v>368</v>
      </c>
      <c r="L32" s="0" t="s">
        <v>48</v>
      </c>
      <c r="N32" s="0" t="s">
        <v>434</v>
      </c>
      <c r="O32" s="0" t="n">
        <f aca="false">_xlfn.IFS(ISNUMBER(SEARCH("Done",L32)),100,ISNUMBER(SEARCH("In Progress",L32)),50,TRUE(),0)</f>
        <v>0</v>
      </c>
    </row>
    <row r="33" customFormat="false" ht="73.5" hidden="false" customHeight="true" outlineLevel="0" collapsed="false">
      <c r="A33" s="0" t="s">
        <v>443</v>
      </c>
      <c r="B33" s="0" t="s">
        <v>268</v>
      </c>
      <c r="C33" s="0" t="s">
        <v>156</v>
      </c>
      <c r="D33" s="0" t="str">
        <f aca="false">IFERROR(INDEX(Epics!$B$2:B$100,MATCH(C33,Epics!$C$2:C$100,0)),"")</f>
        <v>ML4</v>
      </c>
      <c r="E33" s="0" t="str">
        <f aca="false">IFERROR(INDEX(Milestones!$C$2:$C$25,MATCH(D33,Milestones!$B$2:$B$25,0)),"")</f>
        <v>PH2</v>
      </c>
      <c r="F33" s="0" t="s">
        <v>444</v>
      </c>
      <c r="G33" s="14" t="s">
        <v>445</v>
      </c>
      <c r="H33" s="0" t="s">
        <v>368</v>
      </c>
      <c r="L33" s="0" t="s">
        <v>48</v>
      </c>
      <c r="N33" s="0" t="s">
        <v>437</v>
      </c>
      <c r="O33" s="0" t="n">
        <f aca="false">_xlfn.IFS(ISNUMBER(SEARCH("Done",L33)),100,ISNUMBER(SEARCH("In Progress",L33)),50,TRUE(),0)</f>
        <v>0</v>
      </c>
    </row>
    <row r="34" customFormat="false" ht="57" hidden="false" customHeight="true" outlineLevel="0" collapsed="false">
      <c r="A34" s="0" t="s">
        <v>446</v>
      </c>
      <c r="B34" s="0" t="s">
        <v>268</v>
      </c>
      <c r="C34" s="0" t="s">
        <v>156</v>
      </c>
      <c r="D34" s="0" t="str">
        <f aca="false">IFERROR(INDEX(Epics!$B$2:B$100,MATCH(C34,Epics!$C$2:C$100,0)),"")</f>
        <v>ML4</v>
      </c>
      <c r="E34" s="0" t="str">
        <f aca="false">IFERROR(INDEX(Milestones!$C$2:$C$25,MATCH(D34,Milestones!$B$2:$B$25,0)),"")</f>
        <v>PH2</v>
      </c>
      <c r="F34" s="0" t="s">
        <v>447</v>
      </c>
      <c r="G34" s="14" t="s">
        <v>448</v>
      </c>
      <c r="H34" s="0" t="s">
        <v>346</v>
      </c>
      <c r="L34" s="0" t="s">
        <v>48</v>
      </c>
      <c r="N34" s="0" t="s">
        <v>449</v>
      </c>
      <c r="O34" s="0" t="n">
        <f aca="false">_xlfn.IFS(ISNUMBER(SEARCH("Done",L34)),100,ISNUMBER(SEARCH("In Progress",L34)),50,TRUE(),0)</f>
        <v>0</v>
      </c>
    </row>
    <row r="35" customFormat="false" ht="80.25" hidden="false" customHeight="true" outlineLevel="0" collapsed="false">
      <c r="A35" s="0" t="s">
        <v>450</v>
      </c>
      <c r="B35" s="0" t="s">
        <v>268</v>
      </c>
      <c r="C35" s="0" t="s">
        <v>156</v>
      </c>
      <c r="D35" s="0" t="str">
        <f aca="false">IFERROR(INDEX(Epics!$B$2:B$100,MATCH(C35,Epics!$C$2:C$100,0)),"")</f>
        <v>ML4</v>
      </c>
      <c r="E35" s="0" t="str">
        <f aca="false">IFERROR(INDEX(Milestones!$C$2:$C$25,MATCH(D35,Milestones!$B$2:$B$25,0)),"")</f>
        <v>PH2</v>
      </c>
      <c r="F35" s="0" t="s">
        <v>451</v>
      </c>
      <c r="G35" s="14" t="s">
        <v>452</v>
      </c>
      <c r="H35" s="0" t="s">
        <v>346</v>
      </c>
      <c r="L35" s="0" t="s">
        <v>48</v>
      </c>
      <c r="N35" s="0" t="s">
        <v>453</v>
      </c>
      <c r="O35" s="0" t="n">
        <f aca="false">_xlfn.IFS(ISNUMBER(SEARCH("Done",L35)),100,ISNUMBER(SEARCH("In Progress",L35)),50,TRUE(),0)</f>
        <v>0</v>
      </c>
    </row>
    <row r="36" customFormat="false" ht="73.5" hidden="false" customHeight="true" outlineLevel="0" collapsed="false">
      <c r="A36" s="0" t="s">
        <v>454</v>
      </c>
      <c r="B36" s="0" t="s">
        <v>268</v>
      </c>
      <c r="C36" s="0" t="s">
        <v>156</v>
      </c>
      <c r="D36" s="0" t="str">
        <f aca="false">IFERROR(INDEX(Epics!$B$2:B$100,MATCH(C36,Epics!$C$2:C$100,0)),"")</f>
        <v>ML4</v>
      </c>
      <c r="E36" s="0" t="str">
        <f aca="false">IFERROR(INDEX(Milestones!$C$2:$C$25,MATCH(D36,Milestones!$B$2:$B$25,0)),"")</f>
        <v>PH2</v>
      </c>
      <c r="F36" s="0" t="s">
        <v>455</v>
      </c>
      <c r="G36" s="14" t="s">
        <v>456</v>
      </c>
      <c r="H36" s="0" t="s">
        <v>368</v>
      </c>
      <c r="L36" s="0" t="s">
        <v>48</v>
      </c>
      <c r="N36" s="0" t="s">
        <v>457</v>
      </c>
      <c r="O36" s="0" t="n">
        <f aca="false">_xlfn.IFS(ISNUMBER(SEARCH("Done",L36)),100,ISNUMBER(SEARCH("In Progress",L36)),50,TRUE(),0)</f>
        <v>0</v>
      </c>
    </row>
    <row r="37" customFormat="false" ht="66" hidden="false" customHeight="true" outlineLevel="0" collapsed="false">
      <c r="A37" s="0" t="s">
        <v>458</v>
      </c>
      <c r="B37" s="0" t="s">
        <v>271</v>
      </c>
      <c r="C37" s="0" t="s">
        <v>159</v>
      </c>
      <c r="D37" s="0" t="str">
        <f aca="false">IFERROR(INDEX(Epics!$B$2:B$100,MATCH(C37,Epics!$C$2:C$100,0)),"")</f>
        <v>ML5</v>
      </c>
      <c r="E37" s="0" t="str">
        <f aca="false">IFERROR(INDEX(Milestones!$C$2:$C$25,MATCH(D37,Milestones!$B$2:$B$25,0)),"")</f>
        <v>PH2</v>
      </c>
      <c r="F37" s="0" t="s">
        <v>459</v>
      </c>
      <c r="G37" s="14" t="s">
        <v>460</v>
      </c>
      <c r="H37" s="0" t="s">
        <v>346</v>
      </c>
      <c r="L37" s="0" t="s">
        <v>48</v>
      </c>
      <c r="N37" s="0" t="s">
        <v>401</v>
      </c>
      <c r="O37" s="0" t="n">
        <f aca="false">_xlfn.IFS(ISNUMBER(SEARCH("Done",L37)),100,ISNUMBER(SEARCH("In Progress",L37)),50,TRUE(),0)</f>
        <v>0</v>
      </c>
    </row>
    <row r="38" customFormat="false" ht="60" hidden="false" customHeight="true" outlineLevel="0" collapsed="false">
      <c r="A38" s="0" t="s">
        <v>461</v>
      </c>
      <c r="B38" s="0" t="s">
        <v>271</v>
      </c>
      <c r="C38" s="0" t="s">
        <v>159</v>
      </c>
      <c r="D38" s="0" t="str">
        <f aca="false">IFERROR(INDEX(Epics!$B$2:B$100,MATCH(C38,Epics!$C$2:C$100,0)),"")</f>
        <v>ML5</v>
      </c>
      <c r="E38" s="0" t="str">
        <f aca="false">IFERROR(INDEX(Milestones!$C$2:$C$25,MATCH(D38,Milestones!$B$2:$B$25,0)),"")</f>
        <v>PH2</v>
      </c>
      <c r="F38" s="0" t="s">
        <v>462</v>
      </c>
      <c r="G38" s="14" t="s">
        <v>463</v>
      </c>
      <c r="H38" s="0" t="s">
        <v>346</v>
      </c>
      <c r="L38" s="0" t="s">
        <v>48</v>
      </c>
      <c r="N38" s="0" t="s">
        <v>464</v>
      </c>
      <c r="O38" s="0" t="n">
        <f aca="false">_xlfn.IFS(ISNUMBER(SEARCH("Done",L38)),100,ISNUMBER(SEARCH("In Progress",L38)),50,TRUE(),0)</f>
        <v>0</v>
      </c>
    </row>
    <row r="39" customFormat="false" ht="72" hidden="false" customHeight="true" outlineLevel="0" collapsed="false">
      <c r="A39" s="0" t="s">
        <v>465</v>
      </c>
      <c r="B39" s="0" t="s">
        <v>271</v>
      </c>
      <c r="C39" s="0" t="s">
        <v>159</v>
      </c>
      <c r="D39" s="0" t="str">
        <f aca="false">IFERROR(INDEX(Epics!$B$2:B$100,MATCH(C39,Epics!$C$2:C$100,0)),"")</f>
        <v>ML5</v>
      </c>
      <c r="E39" s="0" t="str">
        <f aca="false">IFERROR(INDEX(Milestones!$C$2:$C$25,MATCH(D39,Milestones!$B$2:$B$25,0)),"")</f>
        <v>PH2</v>
      </c>
      <c r="F39" s="0" t="s">
        <v>466</v>
      </c>
      <c r="G39" s="14" t="s">
        <v>467</v>
      </c>
      <c r="H39" s="0" t="s">
        <v>368</v>
      </c>
      <c r="L39" s="0" t="s">
        <v>48</v>
      </c>
      <c r="N39" s="0" t="s">
        <v>468</v>
      </c>
      <c r="O39" s="0" t="n">
        <f aca="false">_xlfn.IFS(ISNUMBER(SEARCH("Done",L39)),100,ISNUMBER(SEARCH("In Progress",L39)),50,TRUE(),0)</f>
        <v>0</v>
      </c>
    </row>
    <row r="40" customFormat="false" ht="67.5" hidden="false" customHeight="true" outlineLevel="0" collapsed="false">
      <c r="A40" s="0" t="s">
        <v>469</v>
      </c>
      <c r="B40" s="0" t="s">
        <v>271</v>
      </c>
      <c r="C40" s="0" t="s">
        <v>159</v>
      </c>
      <c r="D40" s="0" t="str">
        <f aca="false">IFERROR(INDEX(Epics!$B$2:B$100,MATCH(C40,Epics!$C$2:C$100,0)),"")</f>
        <v>ML5</v>
      </c>
      <c r="E40" s="0" t="str">
        <f aca="false">IFERROR(INDEX(Milestones!$C$2:$C$25,MATCH(D40,Milestones!$B$2:$B$25,0)),"")</f>
        <v>PH2</v>
      </c>
      <c r="F40" s="0" t="s">
        <v>470</v>
      </c>
      <c r="G40" s="14" t="s">
        <v>471</v>
      </c>
      <c r="H40" s="0" t="s">
        <v>368</v>
      </c>
      <c r="L40" s="0" t="s">
        <v>48</v>
      </c>
      <c r="N40" s="0" t="s">
        <v>472</v>
      </c>
      <c r="O40" s="0" t="n">
        <f aca="false">_xlfn.IFS(ISNUMBER(SEARCH("Done",L40)),100,ISNUMBER(SEARCH("In Progress",L40)),50,TRUE(),0)</f>
        <v>0</v>
      </c>
    </row>
    <row r="41" customFormat="false" ht="68.25" hidden="false" customHeight="true" outlineLevel="0" collapsed="false">
      <c r="A41" s="0" t="s">
        <v>473</v>
      </c>
      <c r="B41" s="0" t="s">
        <v>271</v>
      </c>
      <c r="C41" s="0" t="s">
        <v>159</v>
      </c>
      <c r="D41" s="0" t="str">
        <f aca="false">IFERROR(INDEX(Epics!$B$2:B$100,MATCH(C41,Epics!$C$2:C$100,0)),"")</f>
        <v>ML5</v>
      </c>
      <c r="E41" s="0" t="str">
        <f aca="false">IFERROR(INDEX(Milestones!$C$2:$C$25,MATCH(D41,Milestones!$B$2:$B$25,0)),"")</f>
        <v>PH2</v>
      </c>
      <c r="F41" s="0" t="s">
        <v>474</v>
      </c>
      <c r="G41" s="14" t="s">
        <v>475</v>
      </c>
      <c r="H41" s="0" t="s">
        <v>368</v>
      </c>
      <c r="L41" s="0" t="s">
        <v>48</v>
      </c>
      <c r="N41" s="0" t="s">
        <v>476</v>
      </c>
      <c r="O41" s="0" t="n">
        <f aca="false">_xlfn.IFS(ISNUMBER(SEARCH("Done",L41)),100,ISNUMBER(SEARCH("In Progress",L41)),50,TRUE(),0)</f>
        <v>0</v>
      </c>
    </row>
    <row r="42" customFormat="false" ht="61.5" hidden="false" customHeight="true" outlineLevel="0" collapsed="false">
      <c r="A42" s="0" t="s">
        <v>477</v>
      </c>
      <c r="B42" s="0" t="s">
        <v>274</v>
      </c>
      <c r="C42" s="0" t="s">
        <v>162</v>
      </c>
      <c r="D42" s="0" t="str">
        <f aca="false">IFERROR(INDEX(Epics!$B$2:B$100,MATCH(C42,Epics!$C$2:C$100,0)),"")</f>
        <v>ML6</v>
      </c>
      <c r="E42" s="0" t="str">
        <f aca="false">IFERROR(INDEX(Milestones!$C$2:$C$25,MATCH(D42,Milestones!$B$2:$B$25,0)),"")</f>
        <v>PH2</v>
      </c>
      <c r="F42" s="0" t="s">
        <v>478</v>
      </c>
      <c r="G42" s="14" t="s">
        <v>479</v>
      </c>
      <c r="H42" s="0" t="s">
        <v>346</v>
      </c>
      <c r="L42" s="0" t="s">
        <v>48</v>
      </c>
      <c r="N42" s="0" t="s">
        <v>378</v>
      </c>
      <c r="O42" s="0" t="n">
        <f aca="false">_xlfn.IFS(ISNUMBER(SEARCH("Done",L42)),100,ISNUMBER(SEARCH("In Progress",L42)),50,TRUE(),0)</f>
        <v>0</v>
      </c>
    </row>
    <row r="43" customFormat="false" ht="86.25" hidden="false" customHeight="true" outlineLevel="0" collapsed="false">
      <c r="A43" s="0" t="s">
        <v>480</v>
      </c>
      <c r="B43" s="0" t="s">
        <v>274</v>
      </c>
      <c r="C43" s="0" t="s">
        <v>162</v>
      </c>
      <c r="D43" s="0" t="str">
        <f aca="false">IFERROR(INDEX(Epics!$B$2:B$100,MATCH(C43,Epics!$C$2:C$100,0)),"")</f>
        <v>ML6</v>
      </c>
      <c r="E43" s="0" t="str">
        <f aca="false">IFERROR(INDEX(Milestones!$C$2:$C$25,MATCH(D43,Milestones!$B$2:$B$25,0)),"")</f>
        <v>PH2</v>
      </c>
      <c r="F43" s="0" t="s">
        <v>481</v>
      </c>
      <c r="G43" s="14" t="s">
        <v>482</v>
      </c>
      <c r="H43" s="0" t="s">
        <v>346</v>
      </c>
      <c r="L43" s="0" t="s">
        <v>48</v>
      </c>
      <c r="N43" s="0" t="s">
        <v>477</v>
      </c>
      <c r="O43" s="0" t="n">
        <f aca="false">_xlfn.IFS(ISNUMBER(SEARCH("Done",L43)),100,ISNUMBER(SEARCH("In Progress",L43)),50,TRUE(),0)</f>
        <v>0</v>
      </c>
    </row>
    <row r="44" customFormat="false" ht="66" hidden="false" customHeight="true" outlineLevel="0" collapsed="false">
      <c r="A44" s="0" t="s">
        <v>483</v>
      </c>
      <c r="B44" s="0" t="s">
        <v>274</v>
      </c>
      <c r="C44" s="0" t="s">
        <v>162</v>
      </c>
      <c r="D44" s="0" t="str">
        <f aca="false">IFERROR(INDEX(Epics!$B$2:B$100,MATCH(C44,Epics!$C$2:C$100,0)),"")</f>
        <v>ML6</v>
      </c>
      <c r="E44" s="0" t="str">
        <f aca="false">IFERROR(INDEX(Milestones!$C$2:$C$25,MATCH(D44,Milestones!$B$2:$B$25,0)),"")</f>
        <v>PH2</v>
      </c>
      <c r="F44" s="0" t="s">
        <v>484</v>
      </c>
      <c r="G44" s="14" t="s">
        <v>485</v>
      </c>
      <c r="H44" s="0" t="s">
        <v>346</v>
      </c>
      <c r="L44" s="0" t="s">
        <v>48</v>
      </c>
      <c r="N44" s="0" t="s">
        <v>477</v>
      </c>
      <c r="O44" s="0" t="n">
        <f aca="false">_xlfn.IFS(ISNUMBER(SEARCH("Done",L44)),100,ISNUMBER(SEARCH("In Progress",L44)),50,TRUE(),0)</f>
        <v>0</v>
      </c>
    </row>
    <row r="45" customFormat="false" ht="63" hidden="false" customHeight="true" outlineLevel="0" collapsed="false">
      <c r="A45" s="0" t="s">
        <v>486</v>
      </c>
      <c r="B45" s="0" t="s">
        <v>274</v>
      </c>
      <c r="C45" s="0" t="s">
        <v>162</v>
      </c>
      <c r="D45" s="0" t="str">
        <f aca="false">IFERROR(INDEX(Epics!$B$2:B$100,MATCH(C45,Epics!$C$2:C$100,0)),"")</f>
        <v>ML6</v>
      </c>
      <c r="E45" s="0" t="str">
        <f aca="false">IFERROR(INDEX(Milestones!$C$2:$C$25,MATCH(D45,Milestones!$B$2:$B$25,0)),"")</f>
        <v>PH2</v>
      </c>
      <c r="F45" s="0" t="s">
        <v>487</v>
      </c>
      <c r="G45" s="14" t="s">
        <v>488</v>
      </c>
      <c r="H45" s="0" t="s">
        <v>368</v>
      </c>
      <c r="L45" s="0" t="s">
        <v>48</v>
      </c>
      <c r="N45" s="0" t="s">
        <v>489</v>
      </c>
      <c r="O45" s="0" t="n">
        <f aca="false">_xlfn.IFS(ISNUMBER(SEARCH("Done",L45)),100,ISNUMBER(SEARCH("In Progress",L45)),50,TRUE(),0)</f>
        <v>0</v>
      </c>
    </row>
    <row r="46" customFormat="false" ht="57" hidden="false" customHeight="true" outlineLevel="0" collapsed="false">
      <c r="A46" s="0" t="s">
        <v>490</v>
      </c>
      <c r="B46" s="0" t="s">
        <v>277</v>
      </c>
      <c r="C46" s="0" t="s">
        <v>165</v>
      </c>
      <c r="D46" s="0" t="str">
        <f aca="false">IFERROR(INDEX(Epics!$B$2:B$100,MATCH(C46,Epics!$C$2:C$100,0)),"")</f>
        <v>ML7</v>
      </c>
      <c r="E46" s="0" t="str">
        <f aca="false">IFERROR(INDEX(Milestones!$C$2:$C$25,MATCH(D46,Milestones!$B$2:$B$25,0)),"")</f>
        <v>PH2</v>
      </c>
      <c r="F46" s="0" t="s">
        <v>491</v>
      </c>
      <c r="G46" s="14" t="s">
        <v>492</v>
      </c>
      <c r="H46" s="0" t="s">
        <v>346</v>
      </c>
      <c r="L46" s="0" t="s">
        <v>48</v>
      </c>
      <c r="N46" s="0" t="s">
        <v>493</v>
      </c>
      <c r="O46" s="0" t="n">
        <f aca="false">_xlfn.IFS(ISNUMBER(SEARCH("Done",L46)),100,ISNUMBER(SEARCH("In Progress",L46)),50,TRUE(),0)</f>
        <v>0</v>
      </c>
    </row>
    <row r="47" customFormat="false" ht="72" hidden="false" customHeight="true" outlineLevel="0" collapsed="false">
      <c r="A47" s="0" t="s">
        <v>494</v>
      </c>
      <c r="B47" s="0" t="s">
        <v>277</v>
      </c>
      <c r="C47" s="0" t="s">
        <v>165</v>
      </c>
      <c r="D47" s="0" t="str">
        <f aca="false">IFERROR(INDEX(Epics!$B$2:B$100,MATCH(C47,Epics!$C$2:C$100,0)),"")</f>
        <v>ML7</v>
      </c>
      <c r="E47" s="0" t="str">
        <f aca="false">IFERROR(INDEX(Milestones!$C$2:$C$25,MATCH(D47,Milestones!$B$2:$B$25,0)),"")</f>
        <v>PH2</v>
      </c>
      <c r="F47" s="0" t="s">
        <v>495</v>
      </c>
      <c r="G47" s="14" t="s">
        <v>496</v>
      </c>
      <c r="H47" s="0" t="s">
        <v>346</v>
      </c>
      <c r="L47" s="0" t="s">
        <v>48</v>
      </c>
      <c r="N47" s="0" t="s">
        <v>497</v>
      </c>
      <c r="O47" s="0" t="n">
        <f aca="false">_xlfn.IFS(ISNUMBER(SEARCH("Done",L47)),100,ISNUMBER(SEARCH("In Progress",L47)),50,TRUE(),0)</f>
        <v>0</v>
      </c>
    </row>
    <row r="48" customFormat="false" ht="66.75" hidden="false" customHeight="true" outlineLevel="0" collapsed="false">
      <c r="A48" s="0" t="s">
        <v>498</v>
      </c>
      <c r="B48" s="0" t="s">
        <v>277</v>
      </c>
      <c r="C48" s="0" t="s">
        <v>165</v>
      </c>
      <c r="D48" s="0" t="str">
        <f aca="false">IFERROR(INDEX(Epics!$B$2:B$100,MATCH(C48,Epics!$C$2:C$100,0)),"")</f>
        <v>ML7</v>
      </c>
      <c r="E48" s="0" t="str">
        <f aca="false">IFERROR(INDEX(Milestones!$C$2:$C$25,MATCH(D48,Milestones!$B$2:$B$25,0)),"")</f>
        <v>PH2</v>
      </c>
      <c r="F48" s="0" t="s">
        <v>499</v>
      </c>
      <c r="G48" s="14" t="s">
        <v>500</v>
      </c>
      <c r="H48" s="0" t="s">
        <v>346</v>
      </c>
      <c r="L48" s="0" t="s">
        <v>48</v>
      </c>
      <c r="N48" s="0" t="s">
        <v>494</v>
      </c>
      <c r="O48" s="0" t="n">
        <f aca="false">_xlfn.IFS(ISNUMBER(SEARCH("Done",L48)),100,ISNUMBER(SEARCH("In Progress",L48)),50,TRUE(),0)</f>
        <v>0</v>
      </c>
    </row>
    <row r="49" customFormat="false" ht="65.25" hidden="false" customHeight="true" outlineLevel="0" collapsed="false">
      <c r="A49" s="0" t="s">
        <v>501</v>
      </c>
      <c r="B49" s="0" t="s">
        <v>277</v>
      </c>
      <c r="C49" s="0" t="s">
        <v>165</v>
      </c>
      <c r="D49" s="0" t="str">
        <f aca="false">IFERROR(INDEX(Epics!$B$2:B$100,MATCH(C49,Epics!$C$2:C$100,0)),"")</f>
        <v>ML7</v>
      </c>
      <c r="E49" s="0" t="str">
        <f aca="false">IFERROR(INDEX(Milestones!$C$2:$C$25,MATCH(D49,Milestones!$B$2:$B$25,0)),"")</f>
        <v>PH2</v>
      </c>
      <c r="F49" s="0" t="s">
        <v>502</v>
      </c>
      <c r="G49" s="14" t="s">
        <v>503</v>
      </c>
      <c r="H49" s="0" t="s">
        <v>368</v>
      </c>
      <c r="L49" s="0" t="s">
        <v>48</v>
      </c>
      <c r="N49" s="0" t="s">
        <v>498</v>
      </c>
      <c r="O49" s="0" t="n">
        <f aca="false">_xlfn.IFS(ISNUMBER(SEARCH("Done",L49)),100,ISNUMBER(SEARCH("In Progress",L49)),50,TRUE(),0)</f>
        <v>0</v>
      </c>
    </row>
    <row r="50" customFormat="false" ht="58.5" hidden="false" customHeight="true" outlineLevel="0" collapsed="false">
      <c r="A50" s="0" t="s">
        <v>504</v>
      </c>
      <c r="B50" s="0" t="s">
        <v>277</v>
      </c>
      <c r="C50" s="0" t="s">
        <v>168</v>
      </c>
      <c r="D50" s="0" t="str">
        <f aca="false">IFERROR(INDEX(Epics!$B$2:B$100,MATCH(C50,Epics!$C$2:C$100,0)),"")</f>
        <v>ML7</v>
      </c>
      <c r="E50" s="0" t="str">
        <f aca="false">IFERROR(INDEX(Milestones!$C$2:$C$25,MATCH(D50,Milestones!$B$2:$B$25,0)),"")</f>
        <v>PH2</v>
      </c>
      <c r="F50" s="0" t="s">
        <v>505</v>
      </c>
      <c r="G50" s="14" t="s">
        <v>506</v>
      </c>
      <c r="H50" s="0" t="s">
        <v>368</v>
      </c>
      <c r="L50" s="0" t="s">
        <v>48</v>
      </c>
      <c r="N50" s="0" t="s">
        <v>507</v>
      </c>
      <c r="O50" s="0" t="n">
        <f aca="false">_xlfn.IFS(ISNUMBER(SEARCH("Done",L50)),100,ISNUMBER(SEARCH("In Progress",L50)),50,TRUE(),0)</f>
        <v>0</v>
      </c>
    </row>
    <row r="51" customFormat="false" ht="69" hidden="false" customHeight="true" outlineLevel="0" collapsed="false">
      <c r="A51" s="0" t="s">
        <v>508</v>
      </c>
      <c r="B51" s="0" t="s">
        <v>277</v>
      </c>
      <c r="C51" s="0" t="s">
        <v>168</v>
      </c>
      <c r="D51" s="0" t="str">
        <f aca="false">IFERROR(INDEX(Epics!$B$2:B$100,MATCH(C51,Epics!$C$2:C$100,0)),"")</f>
        <v>ML7</v>
      </c>
      <c r="E51" s="0" t="str">
        <f aca="false">IFERROR(INDEX(Milestones!$C$2:$C$25,MATCH(D51,Milestones!$B$2:$B$25,0)),"")</f>
        <v>PH2</v>
      </c>
      <c r="F51" s="0" t="s">
        <v>509</v>
      </c>
      <c r="G51" s="14" t="s">
        <v>510</v>
      </c>
      <c r="H51" s="0" t="s">
        <v>368</v>
      </c>
      <c r="L51" s="0" t="s">
        <v>48</v>
      </c>
      <c r="N51" s="0" t="s">
        <v>511</v>
      </c>
      <c r="O51" s="0" t="n">
        <f aca="false">_xlfn.IFS(ISNUMBER(SEARCH("Done",L51)),100,ISNUMBER(SEARCH("In Progress",L51)),50,TRUE(),0)</f>
        <v>0</v>
      </c>
    </row>
    <row r="52" customFormat="false" ht="75" hidden="false" customHeight="true" outlineLevel="0" collapsed="false">
      <c r="A52" s="0" t="s">
        <v>512</v>
      </c>
      <c r="B52" s="0" t="s">
        <v>277</v>
      </c>
      <c r="C52" s="0" t="s">
        <v>165</v>
      </c>
      <c r="D52" s="0" t="str">
        <f aca="false">IFERROR(INDEX(Epics!$B$2:B$100,MATCH(C52,Epics!$C$2:C$100,0)),"")</f>
        <v>ML7</v>
      </c>
      <c r="E52" s="0" t="str">
        <f aca="false">IFERROR(INDEX(Milestones!$C$2:$C$25,MATCH(D52,Milestones!$B$2:$B$25,0)),"")</f>
        <v>PH2</v>
      </c>
      <c r="F52" s="0" t="s">
        <v>513</v>
      </c>
      <c r="G52" s="14" t="s">
        <v>514</v>
      </c>
      <c r="H52" s="0" t="s">
        <v>368</v>
      </c>
      <c r="L52" s="0" t="s">
        <v>48</v>
      </c>
      <c r="N52" s="0" t="s">
        <v>515</v>
      </c>
      <c r="O52" s="0" t="n">
        <f aca="false">_xlfn.IFS(ISNUMBER(SEARCH("Done",L52)),100,ISNUMBER(SEARCH("In Progress",L52)),50,TRUE(),0)</f>
        <v>0</v>
      </c>
    </row>
    <row r="53" customFormat="false" ht="78" hidden="false" customHeight="true" outlineLevel="0" collapsed="false">
      <c r="A53" s="0" t="s">
        <v>516</v>
      </c>
      <c r="B53" s="0" t="s">
        <v>280</v>
      </c>
      <c r="C53" s="0" t="s">
        <v>171</v>
      </c>
      <c r="D53" s="0" t="str">
        <f aca="false">IFERROR(INDEX(Epics!$B$2:B$100,MATCH(C53,Epics!$C$2:C$100,0)),"")</f>
        <v>ML8</v>
      </c>
      <c r="E53" s="0" t="str">
        <f aca="false">IFERROR(INDEX(Milestones!$C$2:$C$25,MATCH(D53,Milestones!$B$2:$B$25,0)),"")</f>
        <v>PH2</v>
      </c>
      <c r="F53" s="0" t="s">
        <v>517</v>
      </c>
      <c r="G53" s="14" t="s">
        <v>518</v>
      </c>
      <c r="H53" s="0" t="s">
        <v>346</v>
      </c>
      <c r="L53" s="0" t="s">
        <v>48</v>
      </c>
      <c r="N53" s="0" t="s">
        <v>519</v>
      </c>
      <c r="O53" s="0" t="n">
        <f aca="false">_xlfn.IFS(ISNUMBER(SEARCH("Done",L53)),100,ISNUMBER(SEARCH("In Progress",L53)),50,TRUE(),0)</f>
        <v>0</v>
      </c>
    </row>
    <row r="54" customFormat="false" ht="66.75" hidden="false" customHeight="true" outlineLevel="0" collapsed="false">
      <c r="A54" s="0" t="s">
        <v>520</v>
      </c>
      <c r="B54" s="0" t="s">
        <v>280</v>
      </c>
      <c r="C54" s="0" t="s">
        <v>171</v>
      </c>
      <c r="D54" s="0" t="str">
        <f aca="false">IFERROR(INDEX(Epics!$B$2:B$100,MATCH(C54,Epics!$C$2:C$100,0)),"")</f>
        <v>ML8</v>
      </c>
      <c r="E54" s="0" t="str">
        <f aca="false">IFERROR(INDEX(Milestones!$C$2:$C$25,MATCH(D54,Milestones!$B$2:$B$25,0)),"")</f>
        <v>PH2</v>
      </c>
      <c r="F54" s="0" t="s">
        <v>521</v>
      </c>
      <c r="G54" s="14" t="s">
        <v>522</v>
      </c>
      <c r="H54" s="0" t="s">
        <v>346</v>
      </c>
      <c r="L54" s="0" t="s">
        <v>48</v>
      </c>
      <c r="N54" s="0" t="s">
        <v>516</v>
      </c>
      <c r="O54" s="0" t="n">
        <f aca="false">_xlfn.IFS(ISNUMBER(SEARCH("Done",L54)),100,ISNUMBER(SEARCH("In Progress",L54)),50,TRUE(),0)</f>
        <v>0</v>
      </c>
    </row>
    <row r="55" customFormat="false" ht="81.75" hidden="false" customHeight="true" outlineLevel="0" collapsed="false">
      <c r="A55" s="0" t="s">
        <v>523</v>
      </c>
      <c r="B55" s="0" t="s">
        <v>280</v>
      </c>
      <c r="C55" s="0" t="s">
        <v>171</v>
      </c>
      <c r="D55" s="0" t="str">
        <f aca="false">IFERROR(INDEX(Epics!$B$2:B$100,MATCH(C55,Epics!$C$2:C$100,0)),"")</f>
        <v>ML8</v>
      </c>
      <c r="E55" s="0" t="str">
        <f aca="false">IFERROR(INDEX(Milestones!$C$2:$C$25,MATCH(D55,Milestones!$B$2:$B$25,0)),"")</f>
        <v>PH2</v>
      </c>
      <c r="F55" s="0" t="s">
        <v>524</v>
      </c>
      <c r="G55" s="14" t="s">
        <v>525</v>
      </c>
      <c r="H55" s="0" t="s">
        <v>346</v>
      </c>
      <c r="L55" s="0" t="s">
        <v>48</v>
      </c>
      <c r="N55" s="0" t="s">
        <v>526</v>
      </c>
      <c r="O55" s="0" t="n">
        <f aca="false">_xlfn.IFS(ISNUMBER(SEARCH("Done",L55)),100,ISNUMBER(SEARCH("In Progress",L55)),50,TRUE(),0)</f>
        <v>0</v>
      </c>
    </row>
    <row r="56" customFormat="false" ht="67.5" hidden="false" customHeight="true" outlineLevel="0" collapsed="false">
      <c r="A56" s="0" t="s">
        <v>527</v>
      </c>
      <c r="B56" s="0" t="s">
        <v>280</v>
      </c>
      <c r="C56" s="0" t="s">
        <v>174</v>
      </c>
      <c r="D56" s="0" t="str">
        <f aca="false">IFERROR(INDEX(Epics!$B$2:B$100,MATCH(C56,Epics!$C$2:C$100,0)),"")</f>
        <v>ML8</v>
      </c>
      <c r="E56" s="0" t="str">
        <f aca="false">IFERROR(INDEX(Milestones!$C$2:$C$25,MATCH(D56,Milestones!$B$2:$B$25,0)),"")</f>
        <v>PH2</v>
      </c>
      <c r="F56" s="0" t="s">
        <v>528</v>
      </c>
      <c r="G56" s="14" t="s">
        <v>529</v>
      </c>
      <c r="H56" s="0" t="s">
        <v>368</v>
      </c>
      <c r="L56" s="0" t="s">
        <v>48</v>
      </c>
      <c r="N56" s="0" t="s">
        <v>530</v>
      </c>
      <c r="O56" s="0" t="n">
        <f aca="false">_xlfn.IFS(ISNUMBER(SEARCH("Done",L56)),100,ISNUMBER(SEARCH("In Progress",L56)),50,TRUE(),0)</f>
        <v>0</v>
      </c>
    </row>
    <row r="57" customFormat="false" ht="66.75" hidden="false" customHeight="true" outlineLevel="0" collapsed="false">
      <c r="A57" s="0" t="s">
        <v>531</v>
      </c>
      <c r="B57" s="0" t="s">
        <v>280</v>
      </c>
      <c r="C57" s="0" t="s">
        <v>171</v>
      </c>
      <c r="D57" s="0" t="str">
        <f aca="false">IFERROR(INDEX(Epics!$B$2:B$100,MATCH(C57,Epics!$C$2:C$100,0)),"")</f>
        <v>ML8</v>
      </c>
      <c r="E57" s="0" t="str">
        <f aca="false">IFERROR(INDEX(Milestones!$C$2:$C$25,MATCH(D57,Milestones!$B$2:$B$25,0)),"")</f>
        <v>PH2</v>
      </c>
      <c r="F57" s="0" t="s">
        <v>532</v>
      </c>
      <c r="G57" s="14" t="s">
        <v>533</v>
      </c>
      <c r="H57" s="0" t="s">
        <v>346</v>
      </c>
      <c r="L57" s="0" t="s">
        <v>48</v>
      </c>
      <c r="N57" s="0" t="s">
        <v>534</v>
      </c>
      <c r="O57" s="0" t="n">
        <f aca="false">_xlfn.IFS(ISNUMBER(SEARCH("Done",L57)),100,ISNUMBER(SEARCH("In Progress",L57)),50,TRUE(),0)</f>
        <v>0</v>
      </c>
    </row>
    <row r="58" customFormat="false" ht="57.75" hidden="false" customHeight="true" outlineLevel="0" collapsed="false">
      <c r="A58" s="0" t="s">
        <v>535</v>
      </c>
      <c r="B58" s="0" t="s">
        <v>283</v>
      </c>
      <c r="C58" s="0" t="s">
        <v>177</v>
      </c>
      <c r="D58" s="0" t="str">
        <f aca="false">IFERROR(INDEX(Epics!$B$2:B$100,MATCH(C58,Epics!$C$2:C$100,0)),"")</f>
        <v>ML9</v>
      </c>
      <c r="E58" s="0" t="str">
        <f aca="false">IFERROR(INDEX(Milestones!$C$2:$C$25,MATCH(D58,Milestones!$B$2:$B$25,0)),"")</f>
        <v>PH2</v>
      </c>
      <c r="F58" s="0" t="s">
        <v>536</v>
      </c>
      <c r="G58" s="14" t="s">
        <v>537</v>
      </c>
      <c r="H58" s="0" t="s">
        <v>346</v>
      </c>
      <c r="L58" s="0" t="s">
        <v>48</v>
      </c>
      <c r="N58" s="0" t="s">
        <v>538</v>
      </c>
      <c r="O58" s="0" t="n">
        <f aca="false">_xlfn.IFS(ISNUMBER(SEARCH("Done",L58)),100,ISNUMBER(SEARCH("In Progress",L58)),50,TRUE(),0)</f>
        <v>0</v>
      </c>
    </row>
    <row r="59" customFormat="false" ht="70.5" hidden="false" customHeight="true" outlineLevel="0" collapsed="false">
      <c r="A59" s="0" t="s">
        <v>539</v>
      </c>
      <c r="B59" s="0" t="s">
        <v>283</v>
      </c>
      <c r="C59" s="0" t="s">
        <v>177</v>
      </c>
      <c r="D59" s="0" t="str">
        <f aca="false">IFERROR(INDEX(Epics!$B$2:B$100,MATCH(C59,Epics!$C$2:C$100,0)),"")</f>
        <v>ML9</v>
      </c>
      <c r="E59" s="0" t="str">
        <f aca="false">IFERROR(INDEX(Milestones!$C$2:$C$25,MATCH(D59,Milestones!$B$2:$B$25,0)),"")</f>
        <v>PH2</v>
      </c>
      <c r="F59" s="0" t="s">
        <v>540</v>
      </c>
      <c r="G59" s="14" t="s">
        <v>541</v>
      </c>
      <c r="H59" s="0" t="s">
        <v>346</v>
      </c>
      <c r="L59" s="0" t="s">
        <v>48</v>
      </c>
      <c r="N59" s="0" t="s">
        <v>535</v>
      </c>
      <c r="O59" s="0" t="n">
        <f aca="false">_xlfn.IFS(ISNUMBER(SEARCH("Done",L59)),100,ISNUMBER(SEARCH("In Progress",L59)),50,TRUE(),0)</f>
        <v>0</v>
      </c>
    </row>
    <row r="60" customFormat="false" ht="71.25" hidden="false" customHeight="true" outlineLevel="0" collapsed="false">
      <c r="A60" s="0" t="s">
        <v>542</v>
      </c>
      <c r="B60" s="0" t="s">
        <v>283</v>
      </c>
      <c r="C60" s="0" t="s">
        <v>177</v>
      </c>
      <c r="D60" s="0" t="str">
        <f aca="false">IFERROR(INDEX(Epics!$B$2:B$100,MATCH(C60,Epics!$C$2:C$100,0)),"")</f>
        <v>ML9</v>
      </c>
      <c r="E60" s="0" t="str">
        <f aca="false">IFERROR(INDEX(Milestones!$C$2:$C$25,MATCH(D60,Milestones!$B$2:$B$25,0)),"")</f>
        <v>PH2</v>
      </c>
      <c r="F60" s="0" t="s">
        <v>543</v>
      </c>
      <c r="G60" s="14" t="s">
        <v>544</v>
      </c>
      <c r="H60" s="0" t="s">
        <v>368</v>
      </c>
      <c r="L60" s="0" t="s">
        <v>48</v>
      </c>
      <c r="N60" s="0" t="s">
        <v>539</v>
      </c>
      <c r="O60" s="0" t="n">
        <f aca="false">_xlfn.IFS(ISNUMBER(SEARCH("Done",L60)),100,ISNUMBER(SEARCH("In Progress",L60)),50,TRUE(),0)</f>
        <v>0</v>
      </c>
    </row>
    <row r="61" customFormat="false" ht="83.25" hidden="false" customHeight="true" outlineLevel="0" collapsed="false">
      <c r="A61" s="0" t="s">
        <v>545</v>
      </c>
      <c r="B61" s="0" t="s">
        <v>286</v>
      </c>
      <c r="C61" s="0" t="s">
        <v>180</v>
      </c>
      <c r="D61" s="0" t="str">
        <f aca="false">IFERROR(INDEX(Epics!$B$2:B$100,MATCH(C61,Epics!$C$2:C$100,0)),"")</f>
        <v>ML10</v>
      </c>
      <c r="E61" s="0" t="str">
        <f aca="false">IFERROR(INDEX(Milestones!$C$2:$C$25,MATCH(D61,Milestones!$B$2:$B$25,0)),"")</f>
        <v>PH2</v>
      </c>
      <c r="F61" s="0" t="s">
        <v>546</v>
      </c>
      <c r="G61" s="14" t="s">
        <v>547</v>
      </c>
      <c r="H61" s="0" t="s">
        <v>346</v>
      </c>
      <c r="L61" s="0" t="s">
        <v>48</v>
      </c>
      <c r="N61" s="0" t="s">
        <v>490</v>
      </c>
      <c r="O61" s="0" t="n">
        <f aca="false">_xlfn.IFS(ISNUMBER(SEARCH("Done",L61)),100,ISNUMBER(SEARCH("In Progress",L61)),50,TRUE(),0)</f>
        <v>0</v>
      </c>
    </row>
    <row r="62" customFormat="false" ht="57" hidden="false" customHeight="true" outlineLevel="0" collapsed="false">
      <c r="A62" s="0" t="s">
        <v>548</v>
      </c>
      <c r="B62" s="0" t="s">
        <v>286</v>
      </c>
      <c r="C62" s="0" t="s">
        <v>180</v>
      </c>
      <c r="D62" s="0" t="str">
        <f aca="false">IFERROR(INDEX(Epics!$B$2:B$100,MATCH(C62,Epics!$C$2:C$100,0)),"")</f>
        <v>ML10</v>
      </c>
      <c r="E62" s="0" t="str">
        <f aca="false">IFERROR(INDEX(Milestones!$C$2:$C$25,MATCH(D62,Milestones!$B$2:$B$25,0)),"")</f>
        <v>PH2</v>
      </c>
      <c r="F62" s="0" t="s">
        <v>549</v>
      </c>
      <c r="G62" s="14" t="s">
        <v>550</v>
      </c>
      <c r="H62" s="0" t="s">
        <v>346</v>
      </c>
      <c r="L62" s="0" t="s">
        <v>48</v>
      </c>
      <c r="N62" s="0" t="s">
        <v>551</v>
      </c>
      <c r="O62" s="0" t="n">
        <f aca="false">_xlfn.IFS(ISNUMBER(SEARCH("Done",L62)),100,ISNUMBER(SEARCH("In Progress",L62)),50,TRUE(),0)</f>
        <v>0</v>
      </c>
    </row>
    <row r="63" customFormat="false" ht="59.25" hidden="false" customHeight="true" outlineLevel="0" collapsed="false">
      <c r="A63" s="0" t="s">
        <v>552</v>
      </c>
      <c r="B63" s="0" t="s">
        <v>286</v>
      </c>
      <c r="C63" s="0" t="s">
        <v>180</v>
      </c>
      <c r="D63" s="0" t="str">
        <f aca="false">IFERROR(INDEX(Epics!$B$2:B$100,MATCH(C63,Epics!$C$2:C$100,0)),"")</f>
        <v>ML10</v>
      </c>
      <c r="E63" s="0" t="str">
        <f aca="false">IFERROR(INDEX(Milestones!$C$2:$C$25,MATCH(D63,Milestones!$B$2:$B$25,0)),"")</f>
        <v>PH2</v>
      </c>
      <c r="F63" s="0" t="s">
        <v>553</v>
      </c>
      <c r="G63" s="14" t="s">
        <v>554</v>
      </c>
      <c r="H63" s="0" t="s">
        <v>368</v>
      </c>
      <c r="L63" s="0" t="s">
        <v>48</v>
      </c>
      <c r="N63" s="0" t="s">
        <v>555</v>
      </c>
      <c r="O63" s="0" t="n">
        <f aca="false">_xlfn.IFS(ISNUMBER(SEARCH("Done",L63)),100,ISNUMBER(SEARCH("In Progress",L63)),50,TRUE(),0)</f>
        <v>0</v>
      </c>
    </row>
    <row r="64" customFormat="false" ht="70.5" hidden="false" customHeight="true" outlineLevel="0" collapsed="false">
      <c r="A64" s="0" t="s">
        <v>556</v>
      </c>
      <c r="B64" s="0" t="s">
        <v>286</v>
      </c>
      <c r="C64" s="0" t="s">
        <v>180</v>
      </c>
      <c r="D64" s="0" t="str">
        <f aca="false">IFERROR(INDEX(Epics!$B$2:B$100,MATCH(C64,Epics!$C$2:C$100,0)),"")</f>
        <v>ML10</v>
      </c>
      <c r="E64" s="0" t="str">
        <f aca="false">IFERROR(INDEX(Milestones!$C$2:$C$25,MATCH(D64,Milestones!$B$2:$B$25,0)),"")</f>
        <v>PH2</v>
      </c>
      <c r="F64" s="0" t="s">
        <v>557</v>
      </c>
      <c r="G64" s="14" t="s">
        <v>558</v>
      </c>
      <c r="H64" s="0" t="s">
        <v>368</v>
      </c>
      <c r="L64" s="0" t="s">
        <v>48</v>
      </c>
      <c r="N64" s="0" t="s">
        <v>559</v>
      </c>
      <c r="O64" s="0" t="n">
        <f aca="false">_xlfn.IFS(ISNUMBER(SEARCH("Done",L64)),100,ISNUMBER(SEARCH("In Progress",L64)),50,TRUE(),0)</f>
        <v>0</v>
      </c>
    </row>
    <row r="65" customFormat="false" ht="62.25" hidden="false" customHeight="true" outlineLevel="0" collapsed="false">
      <c r="A65" s="0" t="s">
        <v>560</v>
      </c>
      <c r="B65" s="0" t="s">
        <v>289</v>
      </c>
      <c r="C65" s="0" t="s">
        <v>183</v>
      </c>
      <c r="D65" s="0" t="str">
        <f aca="false">IFERROR(INDEX(Epics!$B$2:B$100,MATCH(C65,Epics!$C$2:C$100,0)),"")</f>
        <v>ML11</v>
      </c>
      <c r="E65" s="0" t="str">
        <f aca="false">IFERROR(INDEX(Milestones!$C$2:$C$25,MATCH(D65,Milestones!$B$2:$B$25,0)),"")</f>
        <v>PH2</v>
      </c>
      <c r="F65" s="0" t="s">
        <v>561</v>
      </c>
      <c r="G65" s="14" t="s">
        <v>562</v>
      </c>
      <c r="H65" s="0" t="s">
        <v>346</v>
      </c>
      <c r="L65" s="0" t="s">
        <v>48</v>
      </c>
      <c r="N65" s="0" t="s">
        <v>563</v>
      </c>
      <c r="O65" s="0" t="n">
        <f aca="false">_xlfn.IFS(ISNUMBER(SEARCH("Done",L65)),100,ISNUMBER(SEARCH("In Progress",L65)),50,TRUE(),0)</f>
        <v>0</v>
      </c>
    </row>
    <row r="66" customFormat="false" ht="60.75" hidden="false" customHeight="true" outlineLevel="0" collapsed="false">
      <c r="A66" s="0" t="s">
        <v>564</v>
      </c>
      <c r="B66" s="0" t="s">
        <v>289</v>
      </c>
      <c r="C66" s="0" t="s">
        <v>183</v>
      </c>
      <c r="D66" s="0" t="str">
        <f aca="false">IFERROR(INDEX(Epics!$B$2:B$100,MATCH(C66,Epics!$C$2:C$100,0)),"")</f>
        <v>ML11</v>
      </c>
      <c r="E66" s="0" t="str">
        <f aca="false">IFERROR(INDEX(Milestones!$C$2:$C$25,MATCH(D66,Milestones!$B$2:$B$25,0)),"")</f>
        <v>PH2</v>
      </c>
      <c r="F66" s="0" t="s">
        <v>565</v>
      </c>
      <c r="G66" s="14" t="s">
        <v>566</v>
      </c>
      <c r="H66" s="0" t="s">
        <v>346</v>
      </c>
      <c r="L66" s="0" t="s">
        <v>48</v>
      </c>
      <c r="N66" s="0" t="s">
        <v>567</v>
      </c>
      <c r="O66" s="0" t="n">
        <f aca="false">_xlfn.IFS(ISNUMBER(SEARCH("Done",L66)),100,ISNUMBER(SEARCH("In Progress",L66)),50,TRUE(),0)</f>
        <v>0</v>
      </c>
    </row>
    <row r="67" customFormat="false" ht="57" hidden="false" customHeight="true" outlineLevel="0" collapsed="false">
      <c r="A67" s="0" t="s">
        <v>568</v>
      </c>
      <c r="B67" s="0" t="s">
        <v>289</v>
      </c>
      <c r="C67" s="0" t="s">
        <v>183</v>
      </c>
      <c r="D67" s="0" t="str">
        <f aca="false">IFERROR(INDEX(Epics!$B$2:B$100,MATCH(C67,Epics!$C$2:C$100,0)),"")</f>
        <v>ML11</v>
      </c>
      <c r="E67" s="0" t="str">
        <f aca="false">IFERROR(INDEX(Milestones!$C$2:$C$25,MATCH(D67,Milestones!$B$2:$B$25,0)),"")</f>
        <v>PH2</v>
      </c>
      <c r="F67" s="0" t="s">
        <v>569</v>
      </c>
      <c r="G67" s="14" t="s">
        <v>570</v>
      </c>
      <c r="H67" s="0" t="s">
        <v>368</v>
      </c>
      <c r="L67" s="0" t="s">
        <v>48</v>
      </c>
      <c r="N67" s="0" t="s">
        <v>571</v>
      </c>
      <c r="O67" s="0" t="n">
        <f aca="false">_xlfn.IFS(ISNUMBER(SEARCH("Done",L67)),100,ISNUMBER(SEARCH("In Progress",L67)),50,TRUE(),0)</f>
        <v>0</v>
      </c>
    </row>
    <row r="68" customFormat="false" ht="71.25" hidden="false" customHeight="true" outlineLevel="0" collapsed="false">
      <c r="A68" s="0" t="s">
        <v>572</v>
      </c>
      <c r="B68" s="0" t="s">
        <v>292</v>
      </c>
      <c r="C68" s="0" t="s">
        <v>186</v>
      </c>
      <c r="D68" s="0" t="str">
        <f aca="false">IFERROR(INDEX(Epics!$B$2:B$100,MATCH(C68,Epics!$C$2:C$100,0)),"")</f>
        <v>ML12</v>
      </c>
      <c r="E68" s="0" t="str">
        <f aca="false">IFERROR(INDEX(Milestones!$C$2:$C$25,MATCH(D68,Milestones!$B$2:$B$25,0)),"")</f>
        <v>PH2</v>
      </c>
      <c r="F68" s="0" t="s">
        <v>573</v>
      </c>
      <c r="G68" s="14" t="s">
        <v>574</v>
      </c>
      <c r="H68" s="0" t="s">
        <v>346</v>
      </c>
      <c r="L68" s="0" t="s">
        <v>48</v>
      </c>
      <c r="N68" s="0" t="s">
        <v>480</v>
      </c>
      <c r="O68" s="0" t="n">
        <f aca="false">_xlfn.IFS(ISNUMBER(SEARCH("Done",L68)),100,ISNUMBER(SEARCH("In Progress",L68)),50,TRUE(),0)</f>
        <v>0</v>
      </c>
    </row>
    <row r="69" customFormat="false" ht="69" hidden="false" customHeight="true" outlineLevel="0" collapsed="false">
      <c r="A69" s="0" t="s">
        <v>575</v>
      </c>
      <c r="B69" s="0" t="s">
        <v>292</v>
      </c>
      <c r="C69" s="0" t="s">
        <v>189</v>
      </c>
      <c r="D69" s="0" t="str">
        <f aca="false">IFERROR(INDEX(Epics!$B$2:B$100,MATCH(C69,Epics!$C$2:C$100,0)),"")</f>
        <v>ML12</v>
      </c>
      <c r="E69" s="0" t="str">
        <f aca="false">IFERROR(INDEX(Milestones!$C$2:$C$25,MATCH(D69,Milestones!$B$2:$B$25,0)),"")</f>
        <v>PH2</v>
      </c>
      <c r="F69" s="0" t="s">
        <v>576</v>
      </c>
      <c r="G69" s="14" t="s">
        <v>577</v>
      </c>
      <c r="H69" s="0" t="s">
        <v>346</v>
      </c>
      <c r="L69" s="0" t="s">
        <v>48</v>
      </c>
      <c r="N69" s="0" t="s">
        <v>578</v>
      </c>
      <c r="O69" s="0" t="n">
        <f aca="false">_xlfn.IFS(ISNUMBER(SEARCH("Done",L69)),100,ISNUMBER(SEARCH("In Progress",L69)),50,TRUE(),0)</f>
        <v>0</v>
      </c>
    </row>
    <row r="70" customFormat="false" ht="62.25" hidden="false" customHeight="true" outlineLevel="0" collapsed="false">
      <c r="A70" s="0" t="s">
        <v>579</v>
      </c>
      <c r="B70" s="0" t="s">
        <v>292</v>
      </c>
      <c r="C70" s="0" t="s">
        <v>186</v>
      </c>
      <c r="D70" s="0" t="str">
        <f aca="false">IFERROR(INDEX(Epics!$B$2:B$100,MATCH(C70,Epics!$C$2:C$100,0)),"")</f>
        <v>ML12</v>
      </c>
      <c r="E70" s="0" t="str">
        <f aca="false">IFERROR(INDEX(Milestones!$C$2:$C$25,MATCH(D70,Milestones!$B$2:$B$25,0)),"")</f>
        <v>PH2</v>
      </c>
      <c r="F70" s="0" t="s">
        <v>580</v>
      </c>
      <c r="G70" s="14" t="s">
        <v>581</v>
      </c>
      <c r="H70" s="0" t="s">
        <v>346</v>
      </c>
      <c r="L70" s="0" t="s">
        <v>48</v>
      </c>
      <c r="N70" s="0" t="s">
        <v>582</v>
      </c>
      <c r="O70" s="0" t="n">
        <f aca="false">_xlfn.IFS(ISNUMBER(SEARCH("Done",L70)),100,ISNUMBER(SEARCH("In Progress",L70)),50,TRUE(),0)</f>
        <v>0</v>
      </c>
    </row>
    <row r="71" customFormat="false" ht="58.5" hidden="false" customHeight="true" outlineLevel="0" collapsed="false">
      <c r="A71" s="0" t="s">
        <v>583</v>
      </c>
      <c r="B71" s="0" t="s">
        <v>292</v>
      </c>
      <c r="C71" s="0" t="s">
        <v>189</v>
      </c>
      <c r="D71" s="0" t="str">
        <f aca="false">IFERROR(INDEX(Epics!$B$2:B$100,MATCH(C71,Epics!$C$2:C$100,0)),"")</f>
        <v>ML12</v>
      </c>
      <c r="E71" s="0" t="str">
        <f aca="false">IFERROR(INDEX(Milestones!$C$2:$C$25,MATCH(D71,Milestones!$B$2:$B$25,0)),"")</f>
        <v>PH2</v>
      </c>
      <c r="F71" s="0" t="s">
        <v>584</v>
      </c>
      <c r="G71" s="14" t="s">
        <v>585</v>
      </c>
      <c r="H71" s="0" t="s">
        <v>346</v>
      </c>
      <c r="L71" s="0" t="s">
        <v>48</v>
      </c>
      <c r="N71" s="0" t="s">
        <v>579</v>
      </c>
      <c r="O71" s="0" t="n">
        <f aca="false">_xlfn.IFS(ISNUMBER(SEARCH("Done",L71)),100,ISNUMBER(SEARCH("In Progress",L71)),50,TRUE(),0)</f>
        <v>0</v>
      </c>
    </row>
    <row r="72" customFormat="false" ht="68.25" hidden="false" customHeight="true" outlineLevel="0" collapsed="false">
      <c r="A72" s="0" t="s">
        <v>586</v>
      </c>
      <c r="B72" s="0" t="s">
        <v>292</v>
      </c>
      <c r="C72" s="0" t="s">
        <v>192</v>
      </c>
      <c r="D72" s="0" t="str">
        <f aca="false">IFERROR(INDEX(Epics!$B$2:B$100,MATCH(C72,Epics!$C$2:C$100,0)),"")</f>
        <v>ML12</v>
      </c>
      <c r="E72" s="0" t="str">
        <f aca="false">IFERROR(INDEX(Milestones!$C$2:$C$25,MATCH(D72,Milestones!$B$2:$B$25,0)),"")</f>
        <v>PH2</v>
      </c>
      <c r="F72" s="0" t="s">
        <v>587</v>
      </c>
      <c r="G72" s="14" t="s">
        <v>588</v>
      </c>
      <c r="H72" s="0" t="s">
        <v>346</v>
      </c>
      <c r="L72" s="0" t="s">
        <v>48</v>
      </c>
      <c r="N72" s="0" t="s">
        <v>589</v>
      </c>
      <c r="O72" s="0" t="n">
        <f aca="false">_xlfn.IFS(ISNUMBER(SEARCH("Done",L72)),100,ISNUMBER(SEARCH("In Progress",L72)),50,TRUE(),0)</f>
        <v>0</v>
      </c>
    </row>
    <row r="73" customFormat="false" ht="66" hidden="false" customHeight="true" outlineLevel="0" collapsed="false">
      <c r="A73" s="0" t="s">
        <v>590</v>
      </c>
      <c r="B73" s="0" t="s">
        <v>292</v>
      </c>
      <c r="C73" s="0" t="s">
        <v>189</v>
      </c>
      <c r="D73" s="0" t="str">
        <f aca="false">IFERROR(INDEX(Epics!$B$2:B$100,MATCH(C73,Epics!$C$2:C$100,0)),"")</f>
        <v>ML12</v>
      </c>
      <c r="E73" s="0" t="str">
        <f aca="false">IFERROR(INDEX(Milestones!$C$2:$C$25,MATCH(D73,Milestones!$B$2:$B$25,0)),"")</f>
        <v>PH2</v>
      </c>
      <c r="F73" s="0" t="s">
        <v>591</v>
      </c>
      <c r="G73" s="14" t="s">
        <v>592</v>
      </c>
      <c r="H73" s="0" t="s">
        <v>346</v>
      </c>
      <c r="L73" s="0" t="s">
        <v>48</v>
      </c>
      <c r="N73" s="0" t="s">
        <v>593</v>
      </c>
      <c r="O73" s="0" t="n">
        <f aca="false">_xlfn.IFS(ISNUMBER(SEARCH("Done",L73)),100,ISNUMBER(SEARCH("In Progress",L73)),50,TRUE(),0)</f>
        <v>0</v>
      </c>
    </row>
    <row r="74" customFormat="false" ht="63" hidden="false" customHeight="true" outlineLevel="0" collapsed="false">
      <c r="A74" s="0" t="s">
        <v>594</v>
      </c>
      <c r="B74" s="0" t="s">
        <v>295</v>
      </c>
      <c r="C74" s="0" t="s">
        <v>195</v>
      </c>
      <c r="D74" s="0" t="str">
        <f aca="false">IFERROR(INDEX(Epics!$B$2:B$100,MATCH(C74,Epics!$C$2:C$100,0)),"")</f>
        <v>ML13</v>
      </c>
      <c r="E74" s="0" t="str">
        <f aca="false">IFERROR(INDEX(Milestones!$C$2:$C$25,MATCH(D74,Milestones!$B$2:$B$25,0)),"")</f>
        <v>PH2</v>
      </c>
      <c r="F74" s="0" t="s">
        <v>595</v>
      </c>
      <c r="G74" s="14" t="s">
        <v>596</v>
      </c>
      <c r="H74" s="0" t="s">
        <v>346</v>
      </c>
      <c r="L74" s="0" t="s">
        <v>48</v>
      </c>
      <c r="N74" s="0" t="s">
        <v>575</v>
      </c>
      <c r="O74" s="0" t="n">
        <f aca="false">_xlfn.IFS(ISNUMBER(SEARCH("Done",L74)),100,ISNUMBER(SEARCH("In Progress",L74)),50,TRUE(),0)</f>
        <v>0</v>
      </c>
    </row>
    <row r="75" customFormat="false" ht="60" hidden="false" customHeight="true" outlineLevel="0" collapsed="false">
      <c r="A75" s="0" t="s">
        <v>597</v>
      </c>
      <c r="B75" s="0" t="s">
        <v>295</v>
      </c>
      <c r="C75" s="0" t="s">
        <v>195</v>
      </c>
      <c r="D75" s="0" t="str">
        <f aca="false">IFERROR(INDEX(Epics!$B$2:B$100,MATCH(C75,Epics!$C$2:C$100,0)),"")</f>
        <v>ML13</v>
      </c>
      <c r="E75" s="0" t="str">
        <f aca="false">IFERROR(INDEX(Milestones!$C$2:$C$25,MATCH(D75,Milestones!$B$2:$B$25,0)),"")</f>
        <v>PH2</v>
      </c>
      <c r="F75" s="0" t="s">
        <v>598</v>
      </c>
      <c r="G75" s="14" t="s">
        <v>599</v>
      </c>
      <c r="H75" s="0" t="s">
        <v>346</v>
      </c>
      <c r="L75" s="0" t="s">
        <v>48</v>
      </c>
      <c r="N75" s="0" t="s">
        <v>600</v>
      </c>
      <c r="O75" s="0" t="n">
        <f aca="false">_xlfn.IFS(ISNUMBER(SEARCH("Done",L75)),100,ISNUMBER(SEARCH("In Progress",L75)),50,TRUE(),0)</f>
        <v>0</v>
      </c>
    </row>
    <row r="76" customFormat="false" ht="93" hidden="false" customHeight="true" outlineLevel="0" collapsed="false">
      <c r="A76" s="0" t="s">
        <v>601</v>
      </c>
      <c r="B76" s="0" t="s">
        <v>295</v>
      </c>
      <c r="C76" s="0" t="s">
        <v>195</v>
      </c>
      <c r="D76" s="0" t="str">
        <f aca="false">IFERROR(INDEX(Epics!$B$2:B$100,MATCH(C76,Epics!$C$2:C$100,0)),"")</f>
        <v>ML13</v>
      </c>
      <c r="E76" s="0" t="str">
        <f aca="false">IFERROR(INDEX(Milestones!$C$2:$C$25,MATCH(D76,Milestones!$B$2:$B$25,0)),"")</f>
        <v>PH2</v>
      </c>
      <c r="F76" s="0" t="s">
        <v>602</v>
      </c>
      <c r="G76" s="14" t="s">
        <v>603</v>
      </c>
      <c r="H76" s="0" t="s">
        <v>368</v>
      </c>
      <c r="L76" s="0" t="s">
        <v>48</v>
      </c>
      <c r="N76" s="0" t="s">
        <v>597</v>
      </c>
      <c r="O76" s="0" t="n">
        <f aca="false">_xlfn.IFS(ISNUMBER(SEARCH("Done",L76)),100,ISNUMBER(SEARCH("In Progress",L76)),50,TRUE(),0)</f>
        <v>0</v>
      </c>
    </row>
    <row r="77" customFormat="false" ht="57" hidden="false" customHeight="true" outlineLevel="0" collapsed="false">
      <c r="A77" s="0" t="s">
        <v>604</v>
      </c>
      <c r="B77" s="0" t="s">
        <v>295</v>
      </c>
      <c r="C77" s="0" t="s">
        <v>195</v>
      </c>
      <c r="D77" s="0" t="str">
        <f aca="false">IFERROR(INDEX(Epics!$B$2:B$100,MATCH(C77,Epics!$C$2:C$100,0)),"")</f>
        <v>ML13</v>
      </c>
      <c r="E77" s="0" t="str">
        <f aca="false">IFERROR(INDEX(Milestones!$C$2:$C$25,MATCH(D77,Milestones!$B$2:$B$25,0)),"")</f>
        <v>PH2</v>
      </c>
      <c r="F77" s="0" t="s">
        <v>605</v>
      </c>
      <c r="G77" s="14" t="s">
        <v>606</v>
      </c>
      <c r="H77" s="0" t="s">
        <v>368</v>
      </c>
      <c r="L77" s="0" t="s">
        <v>48</v>
      </c>
      <c r="N77" s="0" t="s">
        <v>607</v>
      </c>
      <c r="O77" s="0" t="n">
        <f aca="false">_xlfn.IFS(ISNUMBER(SEARCH("Done",L77)),100,ISNUMBER(SEARCH("In Progress",L77)),50,TRUE(),0)</f>
        <v>0</v>
      </c>
    </row>
    <row r="78" customFormat="false" ht="60" hidden="false" customHeight="true" outlineLevel="0" collapsed="false">
      <c r="A78" s="0" t="s">
        <v>608</v>
      </c>
      <c r="B78" s="0" t="s">
        <v>295</v>
      </c>
      <c r="C78" s="0" t="s">
        <v>198</v>
      </c>
      <c r="D78" s="0" t="str">
        <f aca="false">IFERROR(INDEX(Epics!$B$2:B$100,MATCH(C78,Epics!$C$2:C$100,0)),"")</f>
        <v>ML13</v>
      </c>
      <c r="E78" s="0" t="str">
        <f aca="false">IFERROR(INDEX(Milestones!$C$2:$C$25,MATCH(D78,Milestones!$B$2:$B$25,0)),"")</f>
        <v>PH2</v>
      </c>
      <c r="F78" s="0" t="s">
        <v>609</v>
      </c>
      <c r="G78" s="14" t="s">
        <v>610</v>
      </c>
      <c r="H78" s="0" t="s">
        <v>346</v>
      </c>
      <c r="L78" s="0" t="s">
        <v>48</v>
      </c>
      <c r="N78" s="0" t="s">
        <v>611</v>
      </c>
      <c r="O78" s="0" t="n">
        <f aca="false">_xlfn.IFS(ISNUMBER(SEARCH("Done",L78)),100,ISNUMBER(SEARCH("In Progress",L78)),50,TRUE(),0)</f>
        <v>0</v>
      </c>
    </row>
    <row r="79" customFormat="false" ht="57" hidden="false" customHeight="true" outlineLevel="0" collapsed="false">
      <c r="A79" s="0" t="s">
        <v>612</v>
      </c>
      <c r="B79" s="0" t="s">
        <v>295</v>
      </c>
      <c r="C79" s="0" t="s">
        <v>195</v>
      </c>
      <c r="D79" s="0" t="str">
        <f aca="false">IFERROR(INDEX(Epics!$B$2:B$100,MATCH(C79,Epics!$C$2:C$100,0)),"")</f>
        <v>ML13</v>
      </c>
      <c r="E79" s="0" t="str">
        <f aca="false">IFERROR(INDEX(Milestones!$C$2:$C$25,MATCH(D79,Milestones!$B$2:$B$25,0)),"")</f>
        <v>PH2</v>
      </c>
      <c r="F79" s="0" t="s">
        <v>613</v>
      </c>
      <c r="G79" s="14" t="s">
        <v>614</v>
      </c>
      <c r="H79" s="0" t="s">
        <v>368</v>
      </c>
      <c r="L79" s="0" t="s">
        <v>48</v>
      </c>
      <c r="N79" s="0" t="s">
        <v>615</v>
      </c>
      <c r="O79" s="0" t="n">
        <f aca="false">_xlfn.IFS(ISNUMBER(SEARCH("Done",L79)),100,ISNUMBER(SEARCH("In Progress",L79)),50,TRUE(),0)</f>
        <v>0</v>
      </c>
    </row>
    <row r="80" customFormat="false" ht="70.5" hidden="false" customHeight="true" outlineLevel="0" collapsed="false">
      <c r="A80" s="0" t="s">
        <v>616</v>
      </c>
      <c r="B80" s="0" t="s">
        <v>298</v>
      </c>
      <c r="C80" s="0" t="s">
        <v>201</v>
      </c>
      <c r="D80" s="0" t="str">
        <f aca="false">IFERROR(INDEX(Epics!$B$2:B$100,MATCH(C80,Epics!$C$2:C$100,0)),"")</f>
        <v>ML14</v>
      </c>
      <c r="E80" s="0" t="str">
        <f aca="false">IFERROR(INDEX(Milestones!$C$2:$C$25,MATCH(D80,Milestones!$B$2:$B$25,0)),"")</f>
        <v>PH2</v>
      </c>
      <c r="F80" s="0" t="s">
        <v>617</v>
      </c>
      <c r="G80" s="14" t="s">
        <v>618</v>
      </c>
      <c r="H80" s="0" t="s">
        <v>346</v>
      </c>
      <c r="L80" s="0" t="s">
        <v>48</v>
      </c>
      <c r="N80" s="0" t="s">
        <v>619</v>
      </c>
      <c r="O80" s="0" t="n">
        <f aca="false">_xlfn.IFS(ISNUMBER(SEARCH("Done",L80)),100,ISNUMBER(SEARCH("In Progress",L80)),50,TRUE(),0)</f>
        <v>0</v>
      </c>
    </row>
    <row r="81" customFormat="false" ht="68.25" hidden="false" customHeight="true" outlineLevel="0" collapsed="false">
      <c r="A81" s="0" t="s">
        <v>620</v>
      </c>
      <c r="B81" s="0" t="s">
        <v>298</v>
      </c>
      <c r="C81" s="0" t="s">
        <v>201</v>
      </c>
      <c r="D81" s="0" t="str">
        <f aca="false">IFERROR(INDEX(Epics!$B$2:B$100,MATCH(C81,Epics!$C$2:C$100,0)),"")</f>
        <v>ML14</v>
      </c>
      <c r="E81" s="0" t="str">
        <f aca="false">IFERROR(INDEX(Milestones!$C$2:$C$25,MATCH(D81,Milestones!$B$2:$B$25,0)),"")</f>
        <v>PH2</v>
      </c>
      <c r="F81" s="0" t="s">
        <v>621</v>
      </c>
      <c r="G81" s="14" t="s">
        <v>622</v>
      </c>
      <c r="H81" s="0" t="s">
        <v>346</v>
      </c>
      <c r="L81" s="0" t="s">
        <v>48</v>
      </c>
      <c r="N81" s="0" t="s">
        <v>616</v>
      </c>
      <c r="O81" s="0" t="n">
        <f aca="false">_xlfn.IFS(ISNUMBER(SEARCH("Done",L81)),100,ISNUMBER(SEARCH("In Progress",L81)),50,TRUE(),0)</f>
        <v>0</v>
      </c>
    </row>
    <row r="82" customFormat="false" ht="63.75" hidden="false" customHeight="true" outlineLevel="0" collapsed="false">
      <c r="A82" s="0" t="s">
        <v>623</v>
      </c>
      <c r="B82" s="0" t="s">
        <v>298</v>
      </c>
      <c r="C82" s="0" t="s">
        <v>201</v>
      </c>
      <c r="D82" s="0" t="str">
        <f aca="false">IFERROR(INDEX(Epics!$B$2:B$100,MATCH(C82,Epics!$C$2:C$100,0)),"")</f>
        <v>ML14</v>
      </c>
      <c r="E82" s="0" t="str">
        <f aca="false">IFERROR(INDEX(Milestones!$C$2:$C$25,MATCH(D82,Milestones!$B$2:$B$25,0)),"")</f>
        <v>PH2</v>
      </c>
      <c r="F82" s="0" t="s">
        <v>624</v>
      </c>
      <c r="G82" s="14" t="s">
        <v>625</v>
      </c>
      <c r="H82" s="0" t="s">
        <v>346</v>
      </c>
      <c r="L82" s="0" t="s">
        <v>48</v>
      </c>
      <c r="N82" s="0" t="s">
        <v>626</v>
      </c>
      <c r="O82" s="0" t="n">
        <f aca="false">_xlfn.IFS(ISNUMBER(SEARCH("Done",L82)),100,ISNUMBER(SEARCH("In Progress",L82)),50,TRUE(),0)</f>
        <v>0</v>
      </c>
    </row>
    <row r="83" customFormat="false" ht="57" hidden="false" customHeight="true" outlineLevel="0" collapsed="false">
      <c r="A83" s="0" t="s">
        <v>627</v>
      </c>
      <c r="B83" s="0" t="s">
        <v>298</v>
      </c>
      <c r="C83" s="0" t="s">
        <v>201</v>
      </c>
      <c r="D83" s="0" t="str">
        <f aca="false">IFERROR(INDEX(Epics!$B$2:B$100,MATCH(C83,Epics!$C$2:C$100,0)),"")</f>
        <v>ML14</v>
      </c>
      <c r="E83" s="0" t="str">
        <f aca="false">IFERROR(INDEX(Milestones!$C$2:$C$25,MATCH(D83,Milestones!$B$2:$B$25,0)),"")</f>
        <v>PH2</v>
      </c>
      <c r="F83" s="0" t="s">
        <v>628</v>
      </c>
      <c r="G83" s="14" t="s">
        <v>629</v>
      </c>
      <c r="H83" s="0" t="s">
        <v>346</v>
      </c>
      <c r="L83" s="0" t="s">
        <v>48</v>
      </c>
      <c r="N83" s="0" t="s">
        <v>630</v>
      </c>
      <c r="O83" s="0" t="n">
        <f aca="false">_xlfn.IFS(ISNUMBER(SEARCH("Done",L83)),100,ISNUMBER(SEARCH("In Progress",L83)),50,TRUE(),0)</f>
        <v>0</v>
      </c>
    </row>
    <row r="84" customFormat="false" ht="76.5" hidden="false" customHeight="true" outlineLevel="0" collapsed="false">
      <c r="A84" s="0" t="s">
        <v>631</v>
      </c>
      <c r="B84" s="0" t="s">
        <v>301</v>
      </c>
      <c r="C84" s="0" t="s">
        <v>203</v>
      </c>
      <c r="D84" s="0" t="str">
        <f aca="false">IFERROR(INDEX(Epics!$B$2:B$100,MATCH(C84,Epics!$C$2:C$100,0)),"")</f>
        <v>ML15</v>
      </c>
      <c r="E84" s="0" t="str">
        <f aca="false">IFERROR(INDEX(Milestones!$C$2:$C$25,MATCH(D84,Milestones!$B$2:$B$25,0)),"")</f>
        <v>PH2</v>
      </c>
      <c r="F84" s="0" t="s">
        <v>632</v>
      </c>
      <c r="G84" s="14" t="s">
        <v>633</v>
      </c>
      <c r="H84" s="0" t="s">
        <v>368</v>
      </c>
      <c r="L84" s="0" t="s">
        <v>48</v>
      </c>
      <c r="N84" s="0" t="s">
        <v>401</v>
      </c>
      <c r="O84" s="0" t="n">
        <f aca="false">_xlfn.IFS(ISNUMBER(SEARCH("Done",L84)),100,ISNUMBER(SEARCH("In Progress",L84)),50,TRUE(),0)</f>
        <v>0</v>
      </c>
    </row>
    <row r="85" customFormat="false" ht="68.25" hidden="false" customHeight="true" outlineLevel="0" collapsed="false">
      <c r="A85" s="0" t="s">
        <v>634</v>
      </c>
      <c r="B85" s="0" t="s">
        <v>301</v>
      </c>
      <c r="C85" s="0" t="s">
        <v>203</v>
      </c>
      <c r="D85" s="0" t="str">
        <f aca="false">IFERROR(INDEX(Epics!$B$2:B$100,MATCH(C85,Epics!$C$2:C$100,0)),"")</f>
        <v>ML15</v>
      </c>
      <c r="E85" s="0" t="str">
        <f aca="false">IFERROR(INDEX(Milestones!$C$2:$C$25,MATCH(D85,Milestones!$B$2:$B$25,0)),"")</f>
        <v>PH2</v>
      </c>
      <c r="F85" s="0" t="s">
        <v>635</v>
      </c>
      <c r="G85" s="14" t="s">
        <v>636</v>
      </c>
      <c r="H85" s="0" t="s">
        <v>368</v>
      </c>
      <c r="L85" s="0" t="s">
        <v>48</v>
      </c>
      <c r="N85" s="0" t="s">
        <v>631</v>
      </c>
      <c r="O85" s="0" t="n">
        <f aca="false">_xlfn.IFS(ISNUMBER(SEARCH("Done",L85)),100,ISNUMBER(SEARCH("In Progress",L85)),50,TRUE(),0)</f>
        <v>0</v>
      </c>
    </row>
    <row r="86" customFormat="false" ht="69" hidden="false" customHeight="true" outlineLevel="0" collapsed="false">
      <c r="A86" s="0" t="s">
        <v>637</v>
      </c>
      <c r="B86" s="0" t="s">
        <v>301</v>
      </c>
      <c r="C86" s="0" t="s">
        <v>203</v>
      </c>
      <c r="D86" s="0" t="str">
        <f aca="false">IFERROR(INDEX(Epics!$B$2:B$100,MATCH(C86,Epics!$C$2:C$100,0)),"")</f>
        <v>ML15</v>
      </c>
      <c r="E86" s="0" t="str">
        <f aca="false">IFERROR(INDEX(Milestones!$C$2:$C$25,MATCH(D86,Milestones!$B$2:$B$25,0)),"")</f>
        <v>PH2</v>
      </c>
      <c r="F86" s="0" t="s">
        <v>638</v>
      </c>
      <c r="G86" s="14" t="s">
        <v>639</v>
      </c>
      <c r="H86" s="0" t="s">
        <v>368</v>
      </c>
      <c r="L86" s="0" t="s">
        <v>48</v>
      </c>
      <c r="N86" s="0" t="s">
        <v>640</v>
      </c>
      <c r="O86" s="0" t="n">
        <f aca="false">_xlfn.IFS(ISNUMBER(SEARCH("Done",L86)),100,ISNUMBER(SEARCH("In Progress",L86)),50,TRUE(),0)</f>
        <v>0</v>
      </c>
    </row>
    <row r="87" customFormat="false" ht="57" hidden="false" customHeight="true" outlineLevel="0" collapsed="false">
      <c r="A87" s="0" t="s">
        <v>641</v>
      </c>
      <c r="B87" s="0" t="s">
        <v>301</v>
      </c>
      <c r="C87" s="0" t="s">
        <v>203</v>
      </c>
      <c r="D87" s="0" t="str">
        <f aca="false">IFERROR(INDEX(Epics!$B$2:B$100,MATCH(C87,Epics!$C$2:C$100,0)),"")</f>
        <v>ML15</v>
      </c>
      <c r="E87" s="0" t="str">
        <f aca="false">IFERROR(INDEX(Milestones!$C$2:$C$25,MATCH(D87,Milestones!$B$2:$B$25,0)),"")</f>
        <v>PH2</v>
      </c>
      <c r="F87" s="0" t="s">
        <v>642</v>
      </c>
      <c r="G87" s="14" t="s">
        <v>643</v>
      </c>
      <c r="H87" s="0" t="s">
        <v>399</v>
      </c>
      <c r="L87" s="0" t="s">
        <v>48</v>
      </c>
      <c r="N87" s="0" t="s">
        <v>637</v>
      </c>
      <c r="O87" s="0" t="n">
        <f aca="false">_xlfn.IFS(ISNUMBER(SEARCH("Done",L87)),100,ISNUMBER(SEARCH("In Progress",L87)),50,TRUE(),0)</f>
        <v>0</v>
      </c>
    </row>
    <row r="88" customFormat="false" ht="81.75" hidden="false" customHeight="true" outlineLevel="0" collapsed="false">
      <c r="A88" s="0" t="s">
        <v>644</v>
      </c>
      <c r="B88" s="0" t="s">
        <v>304</v>
      </c>
      <c r="C88" s="0" t="s">
        <v>206</v>
      </c>
      <c r="D88" s="0" t="str">
        <f aca="false">IFERROR(INDEX(Epics!$B$2:B$100,MATCH(C88,Epics!$C$2:C$100,0)),"")</f>
        <v>ML16</v>
      </c>
      <c r="E88" s="0" t="str">
        <f aca="false">IFERROR(INDEX(Milestones!$C$2:$C$25,MATCH(D88,Milestones!$B$2:$B$25,0)),"")</f>
        <v>PH2</v>
      </c>
      <c r="F88" s="0" t="s">
        <v>645</v>
      </c>
      <c r="G88" s="14" t="s">
        <v>646</v>
      </c>
      <c r="H88" s="0" t="s">
        <v>368</v>
      </c>
      <c r="L88" s="0" t="s">
        <v>48</v>
      </c>
      <c r="N88" s="0" t="s">
        <v>616</v>
      </c>
      <c r="O88" s="0" t="n">
        <f aca="false">_xlfn.IFS(ISNUMBER(SEARCH("Done",L88)),100,ISNUMBER(SEARCH("In Progress",L88)),50,TRUE(),0)</f>
        <v>0</v>
      </c>
    </row>
    <row r="89" customFormat="false" ht="68.25" hidden="false" customHeight="true" outlineLevel="0" collapsed="false">
      <c r="A89" s="0" t="s">
        <v>647</v>
      </c>
      <c r="B89" s="0" t="s">
        <v>304</v>
      </c>
      <c r="C89" s="0" t="s">
        <v>206</v>
      </c>
      <c r="D89" s="0" t="str">
        <f aca="false">IFERROR(INDEX(Epics!$B$2:B$100,MATCH(C89,Epics!$C$2:C$100,0)),"")</f>
        <v>ML16</v>
      </c>
      <c r="E89" s="0" t="str">
        <f aca="false">IFERROR(INDEX(Milestones!$C$2:$C$25,MATCH(D89,Milestones!$B$2:$B$25,0)),"")</f>
        <v>PH2</v>
      </c>
      <c r="F89" s="0" t="s">
        <v>648</v>
      </c>
      <c r="G89" s="14" t="s">
        <v>649</v>
      </c>
      <c r="H89" s="0" t="s">
        <v>368</v>
      </c>
      <c r="L89" s="0" t="s">
        <v>48</v>
      </c>
      <c r="N89" s="0" t="s">
        <v>650</v>
      </c>
      <c r="O89" s="0" t="n">
        <f aca="false">_xlfn.IFS(ISNUMBER(SEARCH("Done",L89)),100,ISNUMBER(SEARCH("In Progress",L89)),50,TRUE(),0)</f>
        <v>0</v>
      </c>
    </row>
    <row r="90" customFormat="false" ht="72.75" hidden="false" customHeight="true" outlineLevel="0" collapsed="false">
      <c r="A90" s="0" t="s">
        <v>651</v>
      </c>
      <c r="B90" s="0" t="s">
        <v>304</v>
      </c>
      <c r="C90" s="0" t="s">
        <v>206</v>
      </c>
      <c r="D90" s="0" t="str">
        <f aca="false">IFERROR(INDEX(Epics!$B$2:B$100,MATCH(C90,Epics!$C$2:C$100,0)),"")</f>
        <v>ML16</v>
      </c>
      <c r="E90" s="0" t="str">
        <f aca="false">IFERROR(INDEX(Milestones!$C$2:$C$25,MATCH(D90,Milestones!$B$2:$B$25,0)),"")</f>
        <v>PH2</v>
      </c>
      <c r="F90" s="0" t="s">
        <v>652</v>
      </c>
      <c r="G90" s="14" t="s">
        <v>653</v>
      </c>
      <c r="H90" s="0" t="s">
        <v>368</v>
      </c>
      <c r="L90" s="0" t="s">
        <v>48</v>
      </c>
      <c r="N90" s="0" t="s">
        <v>647</v>
      </c>
      <c r="O90" s="0" t="n">
        <f aca="false">_xlfn.IFS(ISNUMBER(SEARCH("Done",L90)),100,ISNUMBER(SEARCH("In Progress",L90)),50,TRUE(),0)</f>
        <v>0</v>
      </c>
    </row>
    <row r="91" customFormat="false" ht="57.75" hidden="false" customHeight="true" outlineLevel="0" collapsed="false">
      <c r="A91" s="0" t="s">
        <v>654</v>
      </c>
      <c r="B91" s="0" t="s">
        <v>304</v>
      </c>
      <c r="C91" s="0" t="s">
        <v>209</v>
      </c>
      <c r="D91" s="0" t="str">
        <f aca="false">IFERROR(INDEX(Epics!$B$2:B$100,MATCH(C91,Epics!$C$2:C$100,0)),"")</f>
        <v>ML16</v>
      </c>
      <c r="E91" s="0" t="str">
        <f aca="false">IFERROR(INDEX(Milestones!$C$2:$C$25,MATCH(D91,Milestones!$B$2:$B$25,0)),"")</f>
        <v>PH2</v>
      </c>
      <c r="F91" s="0" t="s">
        <v>655</v>
      </c>
      <c r="G91" s="14" t="s">
        <v>656</v>
      </c>
      <c r="H91" s="0" t="s">
        <v>368</v>
      </c>
      <c r="L91" s="0" t="s">
        <v>48</v>
      </c>
      <c r="N91" s="0" t="s">
        <v>657</v>
      </c>
      <c r="O91" s="0" t="n">
        <f aca="false">_xlfn.IFS(ISNUMBER(SEARCH("Done",L91)),100,ISNUMBER(SEARCH("In Progress",L91)),50,TRUE(),0)</f>
        <v>0</v>
      </c>
    </row>
    <row r="92" customFormat="false" ht="96" hidden="false" customHeight="true" outlineLevel="0" collapsed="false">
      <c r="A92" s="0" t="s">
        <v>658</v>
      </c>
      <c r="B92" s="0" t="s">
        <v>304</v>
      </c>
      <c r="C92" s="0" t="s">
        <v>206</v>
      </c>
      <c r="D92" s="0" t="str">
        <f aca="false">IFERROR(INDEX(Epics!$B$2:B$100,MATCH(C92,Epics!$C$2:C$100,0)),"")</f>
        <v>ML16</v>
      </c>
      <c r="E92" s="0" t="str">
        <f aca="false">IFERROR(INDEX(Milestones!$C$2:$C$25,MATCH(D92,Milestones!$B$2:$B$25,0)),"")</f>
        <v>PH2</v>
      </c>
      <c r="F92" s="0" t="s">
        <v>659</v>
      </c>
      <c r="G92" s="14" t="s">
        <v>660</v>
      </c>
      <c r="H92" s="0" t="s">
        <v>368</v>
      </c>
      <c r="L92" s="0" t="s">
        <v>48</v>
      </c>
      <c r="N92" s="0" t="s">
        <v>661</v>
      </c>
      <c r="O92" s="0" t="n">
        <f aca="false">_xlfn.IFS(ISNUMBER(SEARCH("Done",L92)),100,ISNUMBER(SEARCH("In Progress",L92)),50,TRUE(),0)</f>
        <v>0</v>
      </c>
    </row>
    <row r="93" customFormat="false" ht="81" hidden="false" customHeight="true" outlineLevel="0" collapsed="false">
      <c r="A93" s="0" t="s">
        <v>662</v>
      </c>
      <c r="B93" s="0" t="s">
        <v>307</v>
      </c>
      <c r="C93" s="0" t="s">
        <v>212</v>
      </c>
      <c r="D93" s="0" t="str">
        <f aca="false">IFERROR(INDEX(Epics!$B$2:B$100,MATCH(C93,Epics!$C$2:C$100,0)),"")</f>
        <v>ML17</v>
      </c>
      <c r="E93" s="0" t="str">
        <f aca="false">IFERROR(INDEX(Milestones!$C$2:$C$25,MATCH(D93,Milestones!$B$2:$B$25,0)),"")</f>
        <v>PH2</v>
      </c>
      <c r="F93" s="0" t="s">
        <v>663</v>
      </c>
      <c r="G93" s="14" t="s">
        <v>664</v>
      </c>
      <c r="H93" s="0" t="s">
        <v>368</v>
      </c>
      <c r="L93" s="0" t="s">
        <v>48</v>
      </c>
      <c r="N93" s="0" t="s">
        <v>665</v>
      </c>
      <c r="O93" s="0" t="n">
        <f aca="false">_xlfn.IFS(ISNUMBER(SEARCH("Done",L93)),100,ISNUMBER(SEARCH("In Progress",L93)),50,TRUE(),0)</f>
        <v>0</v>
      </c>
    </row>
    <row r="94" customFormat="false" ht="61.5" hidden="false" customHeight="true" outlineLevel="0" collapsed="false">
      <c r="A94" s="0" t="s">
        <v>666</v>
      </c>
      <c r="B94" s="0" t="s">
        <v>307</v>
      </c>
      <c r="C94" s="0" t="s">
        <v>212</v>
      </c>
      <c r="D94" s="0" t="str">
        <f aca="false">IFERROR(INDEX(Epics!$B$2:B$100,MATCH(C94,Epics!$C$2:C$100,0)),"")</f>
        <v>ML17</v>
      </c>
      <c r="E94" s="0" t="str">
        <f aca="false">IFERROR(INDEX(Milestones!$C$2:$C$25,MATCH(D94,Milestones!$B$2:$B$25,0)),"")</f>
        <v>PH2</v>
      </c>
      <c r="F94" s="0" t="s">
        <v>667</v>
      </c>
      <c r="G94" s="14" t="s">
        <v>668</v>
      </c>
      <c r="H94" s="0" t="s">
        <v>368</v>
      </c>
      <c r="L94" s="0" t="s">
        <v>48</v>
      </c>
      <c r="N94" s="0" t="s">
        <v>669</v>
      </c>
      <c r="O94" s="0" t="n">
        <f aca="false">_xlfn.IFS(ISNUMBER(SEARCH("Done",L94)),100,ISNUMBER(SEARCH("In Progress",L94)),50,TRUE(),0)</f>
        <v>0</v>
      </c>
    </row>
    <row r="95" customFormat="false" ht="63" hidden="false" customHeight="true" outlineLevel="0" collapsed="false">
      <c r="A95" s="0" t="s">
        <v>670</v>
      </c>
      <c r="B95" s="0" t="s">
        <v>307</v>
      </c>
      <c r="C95" s="0" t="s">
        <v>212</v>
      </c>
      <c r="D95" s="0" t="str">
        <f aca="false">IFERROR(INDEX(Epics!$B$2:B$100,MATCH(C95,Epics!$C$2:C$100,0)),"")</f>
        <v>ML17</v>
      </c>
      <c r="E95" s="0" t="str">
        <f aca="false">IFERROR(INDEX(Milestones!$C$2:$C$25,MATCH(D95,Milestones!$B$2:$B$25,0)),"")</f>
        <v>PH2</v>
      </c>
      <c r="F95" s="0" t="s">
        <v>671</v>
      </c>
      <c r="G95" s="14" t="s">
        <v>672</v>
      </c>
      <c r="H95" s="0" t="s">
        <v>368</v>
      </c>
      <c r="L95" s="0" t="s">
        <v>48</v>
      </c>
      <c r="N95" s="0" t="s">
        <v>673</v>
      </c>
      <c r="O95" s="0" t="n">
        <f aca="false">_xlfn.IFS(ISNUMBER(SEARCH("Done",L95)),100,ISNUMBER(SEARCH("In Progress",L95)),50,TRUE(),0)</f>
        <v>0</v>
      </c>
    </row>
    <row r="96" customFormat="false" ht="105" hidden="false" customHeight="true" outlineLevel="0" collapsed="false">
      <c r="A96" s="0" t="s">
        <v>674</v>
      </c>
      <c r="B96" s="0" t="s">
        <v>307</v>
      </c>
      <c r="C96" s="0" t="s">
        <v>212</v>
      </c>
      <c r="D96" s="0" t="str">
        <f aca="false">IFERROR(INDEX(Epics!$B$2:B$100,MATCH(C96,Epics!$C$2:C$100,0)),"")</f>
        <v>ML17</v>
      </c>
      <c r="E96" s="0" t="str">
        <f aca="false">IFERROR(INDEX(Milestones!$C$2:$C$25,MATCH(D96,Milestones!$B$2:$B$25,0)),"")</f>
        <v>PH2</v>
      </c>
      <c r="F96" s="0" t="s">
        <v>675</v>
      </c>
      <c r="G96" s="14" t="s">
        <v>676</v>
      </c>
      <c r="H96" s="0" t="s">
        <v>399</v>
      </c>
      <c r="L96" s="0" t="s">
        <v>48</v>
      </c>
      <c r="N96" s="0" t="s">
        <v>677</v>
      </c>
      <c r="O96" s="0" t="n">
        <f aca="false">_xlfn.IFS(ISNUMBER(SEARCH("Done",L96)),100,ISNUMBER(SEARCH("In Progress",L96)),50,TRUE(),0)</f>
        <v>0</v>
      </c>
    </row>
    <row r="97" customFormat="false" ht="57" hidden="false" customHeight="true" outlineLevel="0" collapsed="false">
      <c r="A97" s="0" t="s">
        <v>678</v>
      </c>
      <c r="B97" s="0" t="s">
        <v>311</v>
      </c>
      <c r="C97" s="0" t="s">
        <v>215</v>
      </c>
      <c r="D97" s="0" t="str">
        <f aca="false">IFERROR(INDEX(Epics!$B$2:B$100,MATCH(C97,Epics!$C$2:C$100,0)),"")</f>
        <v>ML18</v>
      </c>
      <c r="E97" s="0" t="str">
        <f aca="false">IFERROR(INDEX(Milestones!$C$2:$C$25,MATCH(D97,Milestones!$B$2:$B$25,0)),"")</f>
        <v>PH2</v>
      </c>
      <c r="F97" s="0" t="s">
        <v>679</v>
      </c>
      <c r="G97" s="14" t="s">
        <v>680</v>
      </c>
      <c r="H97" s="0" t="s">
        <v>368</v>
      </c>
      <c r="L97" s="0" t="s">
        <v>48</v>
      </c>
      <c r="N97" s="0" t="s">
        <v>681</v>
      </c>
      <c r="O97" s="0" t="n">
        <f aca="false">_xlfn.IFS(ISNUMBER(SEARCH("Done",L97)),100,ISNUMBER(SEARCH("In Progress",L97)),50,TRUE(),0)</f>
        <v>0</v>
      </c>
    </row>
    <row r="98" customFormat="false" ht="59.25" hidden="false" customHeight="true" outlineLevel="0" collapsed="false">
      <c r="A98" s="0" t="s">
        <v>682</v>
      </c>
      <c r="B98" s="0" t="s">
        <v>311</v>
      </c>
      <c r="C98" s="0" t="s">
        <v>215</v>
      </c>
      <c r="D98" s="0" t="str">
        <f aca="false">IFERROR(INDEX(Epics!$B$2:B$100,MATCH(C98,Epics!$C$2:C$100,0)),"")</f>
        <v>ML18</v>
      </c>
      <c r="E98" s="0" t="str">
        <f aca="false">IFERROR(INDEX(Milestones!$C$2:$C$25,MATCH(D98,Milestones!$B$2:$B$25,0)),"")</f>
        <v>PH2</v>
      </c>
      <c r="F98" s="0" t="s">
        <v>683</v>
      </c>
      <c r="G98" s="14" t="s">
        <v>684</v>
      </c>
      <c r="H98" s="0" t="s">
        <v>368</v>
      </c>
      <c r="L98" s="0" t="s">
        <v>48</v>
      </c>
      <c r="N98" s="0" t="s">
        <v>685</v>
      </c>
      <c r="O98" s="0" t="n">
        <f aca="false">_xlfn.IFS(ISNUMBER(SEARCH("Done",L98)),100,ISNUMBER(SEARCH("In Progress",L98)),50,TRUE(),0)</f>
        <v>0</v>
      </c>
    </row>
    <row r="99" customFormat="false" ht="74.25" hidden="false" customHeight="true" outlineLevel="0" collapsed="false">
      <c r="A99" s="0" t="s">
        <v>686</v>
      </c>
      <c r="B99" s="0" t="s">
        <v>311</v>
      </c>
      <c r="C99" s="0" t="s">
        <v>215</v>
      </c>
      <c r="D99" s="0" t="str">
        <f aca="false">IFERROR(INDEX(Epics!$B$2:B$100,MATCH(C99,Epics!$C$2:C$100,0)),"")</f>
        <v>ML18</v>
      </c>
      <c r="E99" s="0" t="str">
        <f aca="false">IFERROR(INDEX(Milestones!$C$2:$C$25,MATCH(D99,Milestones!$B$2:$B$25,0)),"")</f>
        <v>PH2</v>
      </c>
      <c r="F99" s="0" t="s">
        <v>687</v>
      </c>
      <c r="G99" s="14" t="s">
        <v>688</v>
      </c>
      <c r="H99" s="0" t="s">
        <v>368</v>
      </c>
      <c r="L99" s="0" t="s">
        <v>48</v>
      </c>
      <c r="N99" s="0" t="s">
        <v>501</v>
      </c>
      <c r="O99" s="0" t="n">
        <f aca="false">_xlfn.IFS(ISNUMBER(SEARCH("Done",L99)),100,ISNUMBER(SEARCH("In Progress",L99)),50,TRUE(),0)</f>
        <v>0</v>
      </c>
    </row>
    <row r="100" customFormat="false" ht="70.5" hidden="false" customHeight="true" outlineLevel="0" collapsed="false">
      <c r="A100" s="0" t="s">
        <v>689</v>
      </c>
      <c r="B100" s="0" t="s">
        <v>311</v>
      </c>
      <c r="C100" s="0" t="s">
        <v>215</v>
      </c>
      <c r="D100" s="0" t="str">
        <f aca="false">IFERROR(INDEX(Epics!$B$2:B$100,MATCH(C100,Epics!$C$2:C$100,0)),"")</f>
        <v>ML18</v>
      </c>
      <c r="E100" s="0" t="str">
        <f aca="false">IFERROR(INDEX(Milestones!$C$2:$C$25,MATCH(D100,Milestones!$B$2:$B$25,0)),"")</f>
        <v>PH2</v>
      </c>
      <c r="F100" s="0" t="s">
        <v>690</v>
      </c>
      <c r="G100" s="14" t="s">
        <v>691</v>
      </c>
      <c r="H100" s="0" t="s">
        <v>399</v>
      </c>
      <c r="L100" s="0" t="s">
        <v>48</v>
      </c>
      <c r="N100" s="0" t="s">
        <v>678</v>
      </c>
      <c r="O100" s="0" t="n">
        <f aca="false">_xlfn.IFS(ISNUMBER(SEARCH("Done",L100)),100,ISNUMBER(SEARCH("In Progress",L100)),50,TRUE(),0)</f>
        <v>0</v>
      </c>
    </row>
    <row r="101" customFormat="false" ht="57" hidden="false" customHeight="true" outlineLevel="0" collapsed="false">
      <c r="A101" s="0" t="s">
        <v>692</v>
      </c>
      <c r="B101" s="0" t="s">
        <v>311</v>
      </c>
      <c r="C101" s="0" t="s">
        <v>215</v>
      </c>
      <c r="D101" s="0" t="str">
        <f aca="false">IFERROR(INDEX(Epics!$B$2:B$100,MATCH(C101,Epics!$C$2:C$100,0)),"")</f>
        <v>ML18</v>
      </c>
      <c r="E101" s="0" t="str">
        <f aca="false">IFERROR(INDEX(Milestones!$C$2:$C$25,MATCH(D101,Milestones!$B$2:$B$25,0)),"")</f>
        <v>PH2</v>
      </c>
      <c r="F101" s="0" t="s">
        <v>693</v>
      </c>
      <c r="G101" s="14" t="s">
        <v>694</v>
      </c>
      <c r="H101" s="0" t="s">
        <v>399</v>
      </c>
      <c r="L101" s="0" t="s">
        <v>48</v>
      </c>
      <c r="N101" s="0" t="s">
        <v>695</v>
      </c>
      <c r="O101" s="0" t="n">
        <f aca="false">_xlfn.IFS(ISNUMBER(SEARCH("Done",L101)),100,ISNUMBER(SEARCH("In Progress",L101)),50,TRUE(),0)</f>
        <v>0</v>
      </c>
    </row>
    <row r="102" customFormat="false" ht="57" hidden="false" customHeight="true" outlineLevel="0" collapsed="false">
      <c r="A102" s="0" t="s">
        <v>696</v>
      </c>
      <c r="B102" s="0" t="s">
        <v>315</v>
      </c>
      <c r="C102" s="0" t="s">
        <v>218</v>
      </c>
      <c r="D102" s="0" t="str">
        <f aca="false">IFERROR(INDEX(Epics!$B$2:B$100,MATCH(C102,Epics!$C$2:C$100,0)),"")</f>
        <v>ML19</v>
      </c>
      <c r="E102" s="0" t="str">
        <f aca="false">IFERROR(INDEX(Milestones!$C$2:$C$25,MATCH(D102,Milestones!$B$2:$B$25,0)),"")</f>
        <v>PH2</v>
      </c>
      <c r="F102" s="0" t="s">
        <v>697</v>
      </c>
      <c r="G102" s="14" t="s">
        <v>698</v>
      </c>
      <c r="H102" s="0" t="s">
        <v>368</v>
      </c>
      <c r="L102" s="0" t="s">
        <v>48</v>
      </c>
      <c r="N102" s="0" t="s">
        <v>699</v>
      </c>
      <c r="O102" s="0" t="n">
        <f aca="false">_xlfn.IFS(ISNUMBER(SEARCH("Done",L102)),100,ISNUMBER(SEARCH("In Progress",L102)),50,TRUE(),0)</f>
        <v>0</v>
      </c>
    </row>
    <row r="103" customFormat="false" ht="69.75" hidden="false" customHeight="true" outlineLevel="0" collapsed="false">
      <c r="A103" s="0" t="s">
        <v>700</v>
      </c>
      <c r="B103" s="0" t="s">
        <v>315</v>
      </c>
      <c r="C103" s="0" t="s">
        <v>218</v>
      </c>
      <c r="D103" s="0" t="str">
        <f aca="false">IFERROR(INDEX(Epics!$B$2:B$100,MATCH(C103,Epics!$C$2:C$100,0)),"")</f>
        <v>ML19</v>
      </c>
      <c r="E103" s="0" t="str">
        <f aca="false">IFERROR(INDEX(Milestones!$C$2:$C$25,MATCH(D103,Milestones!$B$2:$B$25,0)),"")</f>
        <v>PH2</v>
      </c>
      <c r="F103" s="0" t="s">
        <v>701</v>
      </c>
      <c r="G103" s="14" t="s">
        <v>702</v>
      </c>
      <c r="H103" s="0" t="s">
        <v>399</v>
      </c>
      <c r="L103" s="0" t="s">
        <v>48</v>
      </c>
      <c r="N103" s="0" t="s">
        <v>601</v>
      </c>
      <c r="O103" s="0" t="n">
        <f aca="false">_xlfn.IFS(ISNUMBER(SEARCH("Done",L103)),100,ISNUMBER(SEARCH("In Progress",L103)),50,TRUE(),0)</f>
        <v>0</v>
      </c>
    </row>
    <row r="104" customFormat="false" ht="76.5" hidden="false" customHeight="true" outlineLevel="0" collapsed="false">
      <c r="A104" s="0" t="s">
        <v>703</v>
      </c>
      <c r="B104" s="0" t="s">
        <v>315</v>
      </c>
      <c r="C104" s="0" t="s">
        <v>221</v>
      </c>
      <c r="D104" s="0" t="str">
        <f aca="false">IFERROR(INDEX(Epics!$B$2:B$100,MATCH(C104,Epics!$C$2:C$100,0)),"")</f>
        <v>ML19</v>
      </c>
      <c r="E104" s="0" t="str">
        <f aca="false">IFERROR(INDEX(Milestones!$C$2:$C$25,MATCH(D104,Milestones!$B$2:$B$25,0)),"")</f>
        <v>PH2</v>
      </c>
      <c r="F104" s="0" t="s">
        <v>704</v>
      </c>
      <c r="G104" s="14" t="s">
        <v>705</v>
      </c>
      <c r="H104" s="0" t="s">
        <v>399</v>
      </c>
      <c r="L104" s="0" t="s">
        <v>48</v>
      </c>
      <c r="N104" s="0" t="s">
        <v>706</v>
      </c>
      <c r="O104" s="0" t="n">
        <f aca="false">_xlfn.IFS(ISNUMBER(SEARCH("Done",L104)),100,ISNUMBER(SEARCH("In Progress",L104)),50,TRUE(),0)</f>
        <v>0</v>
      </c>
    </row>
    <row r="105" customFormat="false" ht="60" hidden="false" customHeight="true" outlineLevel="0" collapsed="false">
      <c r="A105" s="0" t="s">
        <v>707</v>
      </c>
      <c r="B105" s="0" t="s">
        <v>315</v>
      </c>
      <c r="C105" s="0" t="s">
        <v>221</v>
      </c>
      <c r="D105" s="0" t="str">
        <f aca="false">IFERROR(INDEX(Epics!$B$2:B$100,MATCH(C105,Epics!$C$2:C$100,0)),"")</f>
        <v>ML19</v>
      </c>
      <c r="E105" s="0" t="str">
        <f aca="false">IFERROR(INDEX(Milestones!$C$2:$C$25,MATCH(D105,Milestones!$B$2:$B$25,0)),"")</f>
        <v>PH2</v>
      </c>
      <c r="F105" s="0" t="s">
        <v>708</v>
      </c>
      <c r="G105" s="14" t="s">
        <v>709</v>
      </c>
      <c r="H105" s="0" t="s">
        <v>399</v>
      </c>
      <c r="L105" s="0" t="s">
        <v>48</v>
      </c>
      <c r="N105" s="0" t="s">
        <v>623</v>
      </c>
      <c r="O105" s="0" t="n">
        <f aca="false">_xlfn.IFS(ISNUMBER(SEARCH("Done",L105)),100,ISNUMBER(SEARCH("In Progress",L105)),50,TRUE(),0)</f>
        <v>0</v>
      </c>
    </row>
    <row r="106" customFormat="false" ht="57" hidden="false" customHeight="true" outlineLevel="0" collapsed="false">
      <c r="A106" s="0" t="s">
        <v>710</v>
      </c>
      <c r="B106" s="0" t="s">
        <v>315</v>
      </c>
      <c r="C106" s="0" t="s">
        <v>218</v>
      </c>
      <c r="D106" s="0" t="str">
        <f aca="false">IFERROR(INDEX(Epics!$B$2:B$100,MATCH(C106,Epics!$C$2:C$100,0)),"")</f>
        <v>ML19</v>
      </c>
      <c r="E106" s="0" t="str">
        <f aca="false">IFERROR(INDEX(Milestones!$C$2:$C$25,MATCH(D106,Milestones!$B$2:$B$25,0)),"")</f>
        <v>PH2</v>
      </c>
      <c r="F106" s="0" t="s">
        <v>711</v>
      </c>
      <c r="G106" s="14" t="s">
        <v>712</v>
      </c>
      <c r="H106" s="0" t="s">
        <v>399</v>
      </c>
      <c r="L106" s="0" t="s">
        <v>48</v>
      </c>
      <c r="N106" s="0" t="s">
        <v>713</v>
      </c>
      <c r="O106" s="0" t="n">
        <f aca="false">_xlfn.IFS(ISNUMBER(SEARCH("Done",L106)),100,ISNUMBER(SEARCH("In Progress",L106)),50,TRUE(),0)</f>
        <v>0</v>
      </c>
    </row>
    <row r="107" customFormat="false" ht="57.75" hidden="false" customHeight="true" outlineLevel="0" collapsed="false">
      <c r="A107" s="0" t="s">
        <v>714</v>
      </c>
      <c r="B107" s="0" t="s">
        <v>318</v>
      </c>
      <c r="C107" s="0" t="s">
        <v>224</v>
      </c>
      <c r="D107" s="0" t="str">
        <f aca="false">IFERROR(INDEX(Epics!$B$2:B$100,MATCH(C107,Epics!$C$2:C$100,0)),"")</f>
        <v>ML20</v>
      </c>
      <c r="E107" s="0" t="str">
        <f aca="false">IFERROR(INDEX(Milestones!$C$2:$C$25,MATCH(D107,Milestones!$B$2:$B$25,0)),"")</f>
        <v>PH3</v>
      </c>
      <c r="F107" s="0" t="s">
        <v>715</v>
      </c>
      <c r="G107" s="14" t="s">
        <v>716</v>
      </c>
      <c r="H107" s="0" t="s">
        <v>346</v>
      </c>
      <c r="L107" s="0" t="s">
        <v>48</v>
      </c>
      <c r="O107" s="0" t="n">
        <f aca="false">_xlfn.IFS(ISNUMBER(SEARCH("Done",L107)),100,ISNUMBER(SEARCH("In Progress",L107)),50,TRUE(),0)</f>
        <v>0</v>
      </c>
    </row>
    <row r="108" customFormat="false" ht="75.75" hidden="false" customHeight="true" outlineLevel="0" collapsed="false">
      <c r="A108" s="0" t="s">
        <v>717</v>
      </c>
      <c r="B108" s="0" t="s">
        <v>318</v>
      </c>
      <c r="C108" s="0" t="s">
        <v>226</v>
      </c>
      <c r="D108" s="0" t="str">
        <f aca="false">IFERROR(INDEX(Epics!$B$2:B$100,MATCH(C108,Epics!$C$2:C$100,0)),"")</f>
        <v>ML20</v>
      </c>
      <c r="E108" s="0" t="str">
        <f aca="false">IFERROR(INDEX(Milestones!$C$2:$C$25,MATCH(D108,Milestones!$B$2:$B$25,0)),"")</f>
        <v>PH3</v>
      </c>
      <c r="F108" s="0" t="s">
        <v>718</v>
      </c>
      <c r="G108" s="14" t="s">
        <v>719</v>
      </c>
      <c r="H108" s="0" t="s">
        <v>368</v>
      </c>
      <c r="L108" s="0" t="s">
        <v>48</v>
      </c>
      <c r="N108" s="0" t="s">
        <v>714</v>
      </c>
      <c r="O108" s="0" t="n">
        <f aca="false">_xlfn.IFS(ISNUMBER(SEARCH("Done",L108)),100,ISNUMBER(SEARCH("In Progress",L108)),50,TRUE(),0)</f>
        <v>0</v>
      </c>
    </row>
    <row r="109" customFormat="false" ht="75" hidden="false" customHeight="true" outlineLevel="0" collapsed="false">
      <c r="A109" s="0" t="s">
        <v>720</v>
      </c>
      <c r="B109" s="0" t="s">
        <v>318</v>
      </c>
      <c r="C109" s="0" t="s">
        <v>226</v>
      </c>
      <c r="D109" s="0" t="str">
        <f aca="false">IFERROR(INDEX(Epics!$B$2:B$100,MATCH(C109,Epics!$C$2:C$100,0)),"")</f>
        <v>ML20</v>
      </c>
      <c r="E109" s="0" t="str">
        <f aca="false">IFERROR(INDEX(Milestones!$C$2:$C$25,MATCH(D109,Milestones!$B$2:$B$25,0)),"")</f>
        <v>PH3</v>
      </c>
      <c r="F109" s="0" t="s">
        <v>721</v>
      </c>
      <c r="G109" s="14" t="s">
        <v>722</v>
      </c>
      <c r="H109" s="0" t="s">
        <v>368</v>
      </c>
      <c r="L109" s="0" t="s">
        <v>48</v>
      </c>
      <c r="O109" s="0" t="n">
        <f aca="false">_xlfn.IFS(ISNUMBER(SEARCH("Done",L109)),100,ISNUMBER(SEARCH("In Progress",L109)),50,TRUE(),0)</f>
        <v>0</v>
      </c>
    </row>
    <row r="110" customFormat="false" ht="69.75" hidden="false" customHeight="true" outlineLevel="0" collapsed="false">
      <c r="A110" s="0" t="s">
        <v>723</v>
      </c>
      <c r="B110" s="0" t="s">
        <v>318</v>
      </c>
      <c r="C110" s="0" t="s">
        <v>224</v>
      </c>
      <c r="D110" s="0" t="str">
        <f aca="false">IFERROR(INDEX(Epics!$B$2:B$100,MATCH(C110,Epics!$C$2:C$100,0)),"")</f>
        <v>ML20</v>
      </c>
      <c r="E110" s="0" t="str">
        <f aca="false">IFERROR(INDEX(Milestones!$C$2:$C$25,MATCH(D110,Milestones!$B$2:$B$25,0)),"")</f>
        <v>PH3</v>
      </c>
      <c r="F110" s="0" t="s">
        <v>724</v>
      </c>
      <c r="G110" s="14" t="s">
        <v>725</v>
      </c>
      <c r="H110" s="0" t="s">
        <v>368</v>
      </c>
      <c r="L110" s="0" t="s">
        <v>48</v>
      </c>
      <c r="N110" s="0" t="s">
        <v>726</v>
      </c>
      <c r="O110" s="0" t="n">
        <f aca="false">_xlfn.IFS(ISNUMBER(SEARCH("Done",L110)),100,ISNUMBER(SEARCH("In Progress",L110)),50,TRUE(),0)</f>
        <v>0</v>
      </c>
    </row>
    <row r="111" customFormat="false" ht="66" hidden="false" customHeight="true" outlineLevel="0" collapsed="false">
      <c r="A111" s="0" t="s">
        <v>727</v>
      </c>
      <c r="B111" s="0" t="s">
        <v>322</v>
      </c>
      <c r="C111" s="0" t="s">
        <v>229</v>
      </c>
      <c r="D111" s="0" t="str">
        <f aca="false">IFERROR(INDEX(Epics!$B$2:B$100,MATCH(C111,Epics!$C$2:C$100,0)),"")</f>
        <v>ML21</v>
      </c>
      <c r="E111" s="0" t="str">
        <f aca="false">IFERROR(INDEX(Milestones!$C$2:$C$25,MATCH(D111,Milestones!$B$2:$B$25,0)),"")</f>
        <v>PH3</v>
      </c>
      <c r="F111" s="0" t="s">
        <v>728</v>
      </c>
      <c r="G111" s="14" t="s">
        <v>729</v>
      </c>
      <c r="H111" s="0" t="s">
        <v>346</v>
      </c>
      <c r="L111" s="0" t="s">
        <v>48</v>
      </c>
      <c r="O111" s="0" t="n">
        <f aca="false">_xlfn.IFS(ISNUMBER(SEARCH("Done",L111)),100,ISNUMBER(SEARCH("In Progress",L111)),50,TRUE(),0)</f>
        <v>0</v>
      </c>
    </row>
    <row r="112" customFormat="false" ht="63" hidden="false" customHeight="true" outlineLevel="0" collapsed="false">
      <c r="A112" s="0" t="s">
        <v>730</v>
      </c>
      <c r="B112" s="0" t="s">
        <v>322</v>
      </c>
      <c r="C112" s="0" t="s">
        <v>232</v>
      </c>
      <c r="D112" s="0" t="str">
        <f aca="false">IFERROR(INDEX(Epics!$B$2:B$100,MATCH(C112,Epics!$C$2:C$100,0)),"")</f>
        <v>ML21</v>
      </c>
      <c r="E112" s="0" t="str">
        <f aca="false">IFERROR(INDEX(Milestones!$C$2:$C$25,MATCH(D112,Milestones!$B$2:$B$25,0)),"")</f>
        <v>PH3</v>
      </c>
      <c r="F112" s="0" t="s">
        <v>731</v>
      </c>
      <c r="G112" s="14" t="s">
        <v>732</v>
      </c>
      <c r="H112" s="0" t="s">
        <v>346</v>
      </c>
      <c r="L112" s="0" t="s">
        <v>48</v>
      </c>
      <c r="N112" s="0" t="s">
        <v>727</v>
      </c>
      <c r="O112" s="0" t="n">
        <f aca="false">_xlfn.IFS(ISNUMBER(SEARCH("Done",L112)),100,ISNUMBER(SEARCH("In Progress",L112)),50,TRUE(),0)</f>
        <v>0</v>
      </c>
    </row>
    <row r="113" customFormat="false" ht="70.5" hidden="false" customHeight="true" outlineLevel="0" collapsed="false">
      <c r="A113" s="0" t="s">
        <v>733</v>
      </c>
      <c r="B113" s="0" t="s">
        <v>322</v>
      </c>
      <c r="C113" s="0" t="s">
        <v>229</v>
      </c>
      <c r="D113" s="0" t="str">
        <f aca="false">IFERROR(INDEX(Epics!$B$2:B$100,MATCH(C113,Epics!$C$2:C$100,0)),"")</f>
        <v>ML21</v>
      </c>
      <c r="E113" s="0" t="str">
        <f aca="false">IFERROR(INDEX(Milestones!$C$2:$C$25,MATCH(D113,Milestones!$B$2:$B$25,0)),"")</f>
        <v>PH3</v>
      </c>
      <c r="F113" s="0" t="s">
        <v>734</v>
      </c>
      <c r="G113" s="14" t="s">
        <v>735</v>
      </c>
      <c r="H113" s="0" t="s">
        <v>368</v>
      </c>
      <c r="L113" s="0" t="s">
        <v>48</v>
      </c>
      <c r="N113" s="0" t="s">
        <v>736</v>
      </c>
      <c r="O113" s="0" t="n">
        <f aca="false">_xlfn.IFS(ISNUMBER(SEARCH("Done",L113)),100,ISNUMBER(SEARCH("In Progress",L113)),50,TRUE(),0)</f>
        <v>0</v>
      </c>
    </row>
    <row r="114" customFormat="false" ht="68.25" hidden="false" customHeight="true" outlineLevel="0" collapsed="false">
      <c r="A114" s="0" t="s">
        <v>737</v>
      </c>
      <c r="B114" s="0" t="s">
        <v>325</v>
      </c>
      <c r="C114" s="0" t="s">
        <v>235</v>
      </c>
      <c r="D114" s="0" t="str">
        <f aca="false">IFERROR(INDEX(Epics!$B$2:B$100,MATCH(C114,Epics!$C$2:C$100,0)),"")</f>
        <v>ML22</v>
      </c>
      <c r="E114" s="0" t="str">
        <f aca="false">IFERROR(INDEX(Milestones!$C$2:$C$25,MATCH(D114,Milestones!$B$2:$B$25,0)),"")</f>
        <v>PH3</v>
      </c>
      <c r="F114" s="0" t="s">
        <v>738</v>
      </c>
      <c r="G114" s="14" t="s">
        <v>739</v>
      </c>
      <c r="H114" s="0" t="s">
        <v>346</v>
      </c>
      <c r="L114" s="0" t="s">
        <v>48</v>
      </c>
      <c r="O114" s="0" t="n">
        <f aca="false">_xlfn.IFS(ISNUMBER(SEARCH("Done",L114)),100,ISNUMBER(SEARCH("In Progress",L114)),50,TRUE(),0)</f>
        <v>0</v>
      </c>
    </row>
    <row r="115" customFormat="false" ht="60.75" hidden="false" customHeight="true" outlineLevel="0" collapsed="false">
      <c r="A115" s="0" t="s">
        <v>740</v>
      </c>
      <c r="B115" s="0" t="s">
        <v>325</v>
      </c>
      <c r="C115" s="0" t="s">
        <v>238</v>
      </c>
      <c r="D115" s="0" t="str">
        <f aca="false">IFERROR(INDEX(Epics!$B$2:B$100,MATCH(C115,Epics!$C$2:C$100,0)),"")</f>
        <v>ML22</v>
      </c>
      <c r="E115" s="0" t="str">
        <f aca="false">IFERROR(INDEX(Milestones!$C$2:$C$25,MATCH(D115,Milestones!$B$2:$B$25,0)),"")</f>
        <v>PH3</v>
      </c>
      <c r="F115" s="0" t="s">
        <v>741</v>
      </c>
      <c r="G115" s="14" t="s">
        <v>742</v>
      </c>
      <c r="H115" s="0" t="s">
        <v>346</v>
      </c>
      <c r="L115" s="0" t="s">
        <v>48</v>
      </c>
      <c r="N115" s="0" t="s">
        <v>737</v>
      </c>
      <c r="O115" s="0" t="n">
        <f aca="false">_xlfn.IFS(ISNUMBER(SEARCH("Done",L115)),100,ISNUMBER(SEARCH("In Progress",L115)),50,TRUE(),0)</f>
        <v>0</v>
      </c>
    </row>
    <row r="116" customFormat="false" ht="65.25" hidden="false" customHeight="true" outlineLevel="0" collapsed="false">
      <c r="A116" s="0" t="s">
        <v>743</v>
      </c>
      <c r="B116" s="0" t="s">
        <v>328</v>
      </c>
      <c r="C116" s="0" t="s">
        <v>241</v>
      </c>
      <c r="D116" s="0" t="str">
        <f aca="false">IFERROR(INDEX(Epics!$B$2:B$100,MATCH(C116,Epics!$C$2:C$100,0)),"")</f>
        <v>ML23</v>
      </c>
      <c r="E116" s="0" t="str">
        <f aca="false">IFERROR(INDEX(Milestones!$C$2:$C$25,MATCH(D116,Milestones!$B$2:$B$25,0)),"")</f>
        <v>PH3</v>
      </c>
      <c r="F116" s="0" t="s">
        <v>242</v>
      </c>
      <c r="G116" s="14" t="s">
        <v>744</v>
      </c>
      <c r="H116" s="0" t="s">
        <v>346</v>
      </c>
      <c r="L116" s="0" t="s">
        <v>48</v>
      </c>
      <c r="O116" s="0" t="n">
        <f aca="false">_xlfn.IFS(ISNUMBER(SEARCH("Done",L116)),100,ISNUMBER(SEARCH("In Progress",L116)),50,TRUE(),0)</f>
        <v>0</v>
      </c>
    </row>
    <row r="117" customFormat="false" ht="71.25" hidden="false" customHeight="true" outlineLevel="0" collapsed="false">
      <c r="A117" s="0" t="s">
        <v>745</v>
      </c>
      <c r="B117" s="0" t="s">
        <v>328</v>
      </c>
      <c r="C117" s="0" t="s">
        <v>244</v>
      </c>
      <c r="D117" s="0" t="str">
        <f aca="false">IFERROR(INDEX(Epics!$B$2:B$100,MATCH(C117,Epics!$C$2:C$100,0)),"")</f>
        <v>ML23</v>
      </c>
      <c r="E117" s="0" t="str">
        <f aca="false">IFERROR(INDEX(Milestones!$C$2:$C$25,MATCH(D117,Milestones!$B$2:$B$25,0)),"")</f>
        <v>PH3</v>
      </c>
      <c r="F117" s="0" t="s">
        <v>746</v>
      </c>
      <c r="G117" s="14" t="s">
        <v>747</v>
      </c>
      <c r="H117" s="0" t="s">
        <v>368</v>
      </c>
      <c r="L117" s="0" t="s">
        <v>48</v>
      </c>
      <c r="N117" s="0" t="s">
        <v>743</v>
      </c>
      <c r="O117" s="0" t="n">
        <f aca="false">_xlfn.IFS(ISNUMBER(SEARCH("Done",L117)),100,ISNUMBER(SEARCH("In Progress",L117)),50,TRUE(),0)</f>
        <v>0</v>
      </c>
    </row>
    <row r="118" customFormat="false" ht="66.75" hidden="false" customHeight="true" outlineLevel="0" collapsed="false">
      <c r="A118" s="0" t="s">
        <v>748</v>
      </c>
      <c r="B118" s="0" t="s">
        <v>332</v>
      </c>
      <c r="C118" s="0" t="s">
        <v>247</v>
      </c>
      <c r="D118" s="0" t="str">
        <f aca="false">IFERROR(INDEX(Epics!$B$2:B$100,MATCH(C118,Epics!$C$2:C$100,0)),"")</f>
        <v>ML24</v>
      </c>
      <c r="E118" s="0" t="str">
        <f aca="false">IFERROR(INDEX(Milestones!$C$2:$C$25,MATCH(D118,Milestones!$B$2:$B$25,0)),"")</f>
        <v>PH4</v>
      </c>
      <c r="F118" s="0" t="s">
        <v>749</v>
      </c>
      <c r="G118" s="14" t="s">
        <v>750</v>
      </c>
      <c r="H118" s="0" t="s">
        <v>346</v>
      </c>
      <c r="L118" s="0" t="s">
        <v>48</v>
      </c>
      <c r="N118" s="0" t="s">
        <v>751</v>
      </c>
      <c r="O118" s="0" t="n">
        <f aca="false">_xlfn.IFS(ISNUMBER(SEARCH("Done",L118)),100,ISNUMBER(SEARCH("In Progress",L118)),50,TRUE(),0)</f>
        <v>0</v>
      </c>
    </row>
    <row r="119" customFormat="false" ht="59.25" hidden="false" customHeight="true" outlineLevel="0" collapsed="false">
      <c r="A119" s="0" t="s">
        <v>752</v>
      </c>
      <c r="B119" s="0" t="s">
        <v>332</v>
      </c>
      <c r="C119" s="0" t="s">
        <v>247</v>
      </c>
      <c r="D119" s="0" t="str">
        <f aca="false">IFERROR(INDEX(Epics!$B$2:B$100,MATCH(C119,Epics!$C$2:C$100,0)),"")</f>
        <v>ML24</v>
      </c>
      <c r="E119" s="0" t="str">
        <f aca="false">IFERROR(INDEX(Milestones!$C$2:$C$25,MATCH(D119,Milestones!$B$2:$B$25,0)),"")</f>
        <v>PH4</v>
      </c>
      <c r="F119" s="0" t="s">
        <v>753</v>
      </c>
      <c r="G119" s="14" t="s">
        <v>754</v>
      </c>
      <c r="H119" s="0" t="s">
        <v>368</v>
      </c>
      <c r="L119" s="0" t="s">
        <v>48</v>
      </c>
      <c r="N119" s="0" t="s">
        <v>748</v>
      </c>
      <c r="O119" s="0" t="n">
        <f aca="false">_xlfn.IFS(ISNUMBER(SEARCH("Done",L119)),100,ISNUMBER(SEARCH("In Progress",L119)),50,TRUE(),0)</f>
        <v>0</v>
      </c>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L2:L19">
    <cfRule type="expression" priority="2" aboveAverage="0" equalAverage="0" bottom="0" percent="0" rank="0" text="" dxfId="0">
      <formula>ISNUMBER(SEARCH("Completed",L2))</formula>
    </cfRule>
    <cfRule type="expression" priority="3" aboveAverage="0" equalAverage="0" bottom="0" percent="0" rank="0" text="" dxfId="0">
      <formula>ISNUMBER(SEARCH("Done",L2))</formula>
    </cfRule>
    <cfRule type="expression" priority="4" aboveAverage="0" equalAverage="0" bottom="0" percent="0" rank="0" text="" dxfId="1">
      <formula>ISNUMBER(SEARCH("Progress",L2))</formula>
    </cfRule>
    <cfRule type="expression" priority="5" aboveAverage="0" equalAverage="0" bottom="0" percent="0" rank="0" text="" dxfId="2">
      <formula>ISNUMBER(SEARCH("Blocked",L2))</formula>
    </cfRule>
    <cfRule type="expression" priority="6" aboveAverage="0" equalAverage="0" bottom="0" percent="0" rank="0" text="" dxfId="3">
      <formula>ISNUMBER(SEARCH("Planned",L2))</formula>
    </cfRule>
    <cfRule type="expression" priority="7" aboveAverage="0" equalAverage="0" bottom="0" percent="0" rank="0" text="" dxfId="3">
      <formula>ISNUMBER(SEARCH("Not Started",L2))</formula>
    </cfRule>
  </conditionalFormatting>
  <conditionalFormatting sqref="O2:O19">
    <cfRule type="dataBar" priority="8">
      <dataBar showValue="1" minLength="10" maxLength="90">
        <cfvo type="num" val="0"/>
        <cfvo type="num" val="100"/>
        <color rgb="FF638EC6"/>
      </dataBar>
      <extLst>
        <ext xmlns:x14="http://schemas.microsoft.com/office/spreadsheetml/2009/9/main" uri="{B025F937-C7B1-47D3-B67F-A62EFF666E3E}">
          <x14:id>{1621934D-C2A8-42B1-82FB-BC2FBEF5B036}</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1621934D-C2A8-42B1-82FB-BC2FBEF5B036}">
            <x14:dataBar minLength="10" maxLength="90" axisPosition="none" gradient="true">
              <x14:cfvo type="num">
                <xm:f>0</xm:f>
              </x14:cfvo>
              <x14:cfvo type="num">
                <xm:f>100</xm:f>
              </x14:cfvo>
              <x14:negativeFillColor rgb="FF638EC6"/>
              <x14:axisColor rgb="FF000000"/>
            </x14:dataBar>
          </x14:cfRule>
          <xm:sqref>O2:O19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755</v>
      </c>
      <c r="B1" s="4" t="s">
        <v>756</v>
      </c>
      <c r="C1" s="4" t="s">
        <v>757</v>
      </c>
      <c r="D1" s="4" t="s">
        <v>59</v>
      </c>
      <c r="E1" s="4" t="s">
        <v>758</v>
      </c>
      <c r="F1" s="4" t="s">
        <v>759</v>
      </c>
      <c r="G1" s="4" t="s">
        <v>13</v>
      </c>
      <c r="H1" s="4" t="s">
        <v>760</v>
      </c>
    </row>
    <row r="2" customFormat="false" ht="23.25" hidden="false" customHeight="true" outlineLevel="0" collapsed="false">
      <c r="A2" s="5" t="s">
        <v>761</v>
      </c>
      <c r="B2" s="5" t="s">
        <v>762</v>
      </c>
      <c r="C2" s="5" t="s">
        <v>763</v>
      </c>
      <c r="D2" s="13"/>
      <c r="E2" s="13"/>
      <c r="F2" s="12" t="s">
        <v>764</v>
      </c>
      <c r="G2" s="5" t="str">
        <f aca="false">IF(INDEX(Milestones!$K$2:$K$25,MATCH("ML24",Milestones!$B$2:$B$25,0))="✅ Completed","Released",IF(INDEX(Milestones!$K$2:$K$25,MATCH("ML24",Milestones!$B$2:$B$25,0))="🔄 In Progress","In Progress","Planned"))</f>
        <v>Planned</v>
      </c>
      <c r="H2" s="12" t="s">
        <v>765</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766</v>
      </c>
      <c r="B1" s="4" t="s">
        <v>336</v>
      </c>
      <c r="C1" s="4" t="s">
        <v>767</v>
      </c>
      <c r="D1" s="4" t="s">
        <v>13</v>
      </c>
      <c r="E1" s="4" t="s">
        <v>768</v>
      </c>
      <c r="F1" s="4" t="s">
        <v>769</v>
      </c>
    </row>
    <row r="2" customFormat="false" ht="23.25" hidden="false" customHeight="true" outlineLevel="0" collapsed="false">
      <c r="A2" s="5" t="s">
        <v>770</v>
      </c>
      <c r="B2" s="12" t="s">
        <v>771</v>
      </c>
      <c r="C2" s="12" t="s">
        <v>772</v>
      </c>
      <c r="D2" s="5" t="s">
        <v>773</v>
      </c>
      <c r="E2" s="13"/>
      <c r="F2" s="5" t="s">
        <v>774</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5" t="s">
        <v>775</v>
      </c>
      <c r="B1" s="15" t="s">
        <v>336</v>
      </c>
      <c r="C1" s="15" t="s">
        <v>39</v>
      </c>
      <c r="D1" s="15" t="s">
        <v>776</v>
      </c>
      <c r="E1" s="15" t="s">
        <v>777</v>
      </c>
      <c r="F1" s="15" t="s">
        <v>61</v>
      </c>
      <c r="G1" s="15" t="s">
        <v>778</v>
      </c>
      <c r="H1" s="15" t="s">
        <v>13</v>
      </c>
    </row>
    <row r="2" customFormat="false" ht="15" hidden="false" customHeight="true" outlineLevel="0" collapsed="false">
      <c r="A2" s="2"/>
      <c r="H2" s="10"/>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6" t="s">
        <v>13</v>
      </c>
      <c r="B1" s="16" t="s">
        <v>779</v>
      </c>
      <c r="C1" s="16" t="s">
        <v>337</v>
      </c>
      <c r="D1" s="16" t="s">
        <v>340</v>
      </c>
      <c r="E1" s="16" t="s">
        <v>61</v>
      </c>
      <c r="F1" s="16" t="s">
        <v>780</v>
      </c>
      <c r="G1" s="16" t="s">
        <v>781</v>
      </c>
      <c r="H1" s="16" t="s">
        <v>776</v>
      </c>
      <c r="I1" s="16" t="s">
        <v>777</v>
      </c>
      <c r="J1" s="16" t="s">
        <v>782</v>
      </c>
      <c r="K1" s="16" t="s">
        <v>783</v>
      </c>
      <c r="L1" s="16" t="s">
        <v>784</v>
      </c>
    </row>
    <row r="2" customFormat="false" ht="15" hidden="false" customHeight="true" outlineLevel="0" collapsed="false">
      <c r="A2" s="0" t="s">
        <v>25</v>
      </c>
      <c r="B2" s="0" t="s">
        <v>25</v>
      </c>
      <c r="C2" s="0" t="s">
        <v>399</v>
      </c>
      <c r="D2" s="0" t="n">
        <v>1</v>
      </c>
      <c r="E2" s="0" t="s">
        <v>66</v>
      </c>
      <c r="F2" s="0" t="s">
        <v>785</v>
      </c>
      <c r="G2" s="0" t="s">
        <v>786</v>
      </c>
      <c r="H2" s="0" t="s">
        <v>399</v>
      </c>
      <c r="I2" s="0" t="s">
        <v>399</v>
      </c>
      <c r="J2" s="0" t="s">
        <v>787</v>
      </c>
      <c r="K2" s="0" t="s">
        <v>788</v>
      </c>
      <c r="L2" s="0" t="s">
        <v>789</v>
      </c>
    </row>
    <row r="3" customFormat="false" ht="15" hidden="false" customHeight="true" outlineLevel="0" collapsed="false">
      <c r="A3" s="0" t="s">
        <v>21</v>
      </c>
      <c r="B3" s="0" t="s">
        <v>21</v>
      </c>
      <c r="C3" s="0" t="s">
        <v>368</v>
      </c>
      <c r="D3" s="0" t="n">
        <v>2</v>
      </c>
      <c r="E3" s="0" t="s">
        <v>790</v>
      </c>
      <c r="F3" s="0" t="s">
        <v>791</v>
      </c>
      <c r="G3" s="0" t="s">
        <v>792</v>
      </c>
      <c r="H3" s="0" t="s">
        <v>368</v>
      </c>
      <c r="I3" s="0" t="s">
        <v>368</v>
      </c>
      <c r="J3" s="0" t="s">
        <v>793</v>
      </c>
      <c r="K3" s="0" t="s">
        <v>794</v>
      </c>
      <c r="L3" s="0" t="s">
        <v>795</v>
      </c>
    </row>
    <row r="4" customFormat="false" ht="15" hidden="false" customHeight="true" outlineLevel="0" collapsed="false">
      <c r="A4" s="0" t="s">
        <v>23</v>
      </c>
      <c r="B4" s="0" t="s">
        <v>23</v>
      </c>
      <c r="C4" s="0" t="s">
        <v>346</v>
      </c>
      <c r="D4" s="0" t="n">
        <v>3</v>
      </c>
      <c r="F4" s="0" t="s">
        <v>796</v>
      </c>
      <c r="G4" s="0" t="s">
        <v>797</v>
      </c>
      <c r="H4" s="0" t="s">
        <v>346</v>
      </c>
      <c r="I4" s="0" t="s">
        <v>346</v>
      </c>
      <c r="J4" s="0" t="s">
        <v>798</v>
      </c>
      <c r="K4" s="0" t="s">
        <v>799</v>
      </c>
      <c r="L4" s="0" t="s">
        <v>800</v>
      </c>
    </row>
    <row r="5" customFormat="false" ht="15" hidden="false" customHeight="true" outlineLevel="0" collapsed="false">
      <c r="A5" s="0" t="s">
        <v>44</v>
      </c>
      <c r="B5" s="0" t="s">
        <v>19</v>
      </c>
      <c r="C5" s="0" t="s">
        <v>801</v>
      </c>
      <c r="D5" s="0" t="n">
        <v>5</v>
      </c>
      <c r="F5" s="0" t="s">
        <v>802</v>
      </c>
      <c r="J5" s="0" t="s">
        <v>803</v>
      </c>
      <c r="L5" s="0" t="s">
        <v>804</v>
      </c>
    </row>
    <row r="6" customFormat="false" ht="15" hidden="false" customHeight="true" outlineLevel="0" collapsed="false">
      <c r="D6" s="0" t="n">
        <v>8</v>
      </c>
      <c r="J6" s="0" t="s">
        <v>805</v>
      </c>
      <c r="L6" s="0" t="s">
        <v>806</v>
      </c>
    </row>
    <row r="7" customFormat="false" ht="15" hidden="false" customHeight="true" outlineLevel="0" collapsed="false">
      <c r="D7" s="0" t="n">
        <v>13</v>
      </c>
      <c r="J7" s="0" t="s">
        <v>807</v>
      </c>
    </row>
    <row r="8" customFormat="false" ht="15" hidden="false" customHeight="true" outlineLevel="0" collapsed="false">
      <c r="D8" s="0" t="n">
        <v>21</v>
      </c>
      <c r="J8" s="0" t="s">
        <v>808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I3" activeCellId="0" sqref="I3"/>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809</v>
      </c>
      <c r="B1" s="4" t="s">
        <v>768</v>
      </c>
      <c r="C1" s="4" t="s">
        <v>782</v>
      </c>
      <c r="D1" s="4" t="s">
        <v>39</v>
      </c>
      <c r="E1" s="4" t="s">
        <v>783</v>
      </c>
      <c r="F1" s="4" t="s">
        <v>810</v>
      </c>
      <c r="G1" s="4" t="s">
        <v>811</v>
      </c>
      <c r="H1" s="4" t="s">
        <v>812</v>
      </c>
      <c r="I1" s="4" t="s">
        <v>784</v>
      </c>
      <c r="J1" s="4" t="s">
        <v>760</v>
      </c>
      <c r="L1" s="2" t="s">
        <v>782</v>
      </c>
      <c r="M1" s="2" t="s">
        <v>813</v>
      </c>
    </row>
    <row r="2" customFormat="false" ht="15" hidden="false" customHeight="false" outlineLevel="0" collapsed="false">
      <c r="A2" s="5" t="s">
        <v>814</v>
      </c>
      <c r="B2" s="13" t="n">
        <v>46211</v>
      </c>
      <c r="C2" s="5" t="s">
        <v>798</v>
      </c>
      <c r="D2" s="12" t="s">
        <v>815</v>
      </c>
      <c r="E2" s="5" t="s">
        <v>788</v>
      </c>
      <c r="F2" s="17" t="n">
        <v>57.5</v>
      </c>
      <c r="G2" s="18" t="n">
        <f aca="false">_xlfn.IFS(E2="AED",1,E2="USD",3.673,E2="EUR",4,TRUE(),1)</f>
        <v>1</v>
      </c>
      <c r="H2" s="17" t="n">
        <f aca="false">F2*G2</f>
        <v>57.5</v>
      </c>
      <c r="I2" s="5" t="s">
        <v>789</v>
      </c>
      <c r="J2" s="12"/>
      <c r="L2" s="0" t="s">
        <v>787</v>
      </c>
      <c r="M2" s="19" t="n">
        <f aca="false">SUMIFS($H$2:$H$3,$C$2:$C$3,L2)</f>
        <v>77.133</v>
      </c>
    </row>
    <row r="3" customFormat="false" ht="15" hidden="false" customHeight="false" outlineLevel="0" collapsed="false">
      <c r="A3" s="5" t="s">
        <v>816</v>
      </c>
      <c r="B3" s="13" t="n">
        <v>46211</v>
      </c>
      <c r="C3" s="5" t="s">
        <v>787</v>
      </c>
      <c r="D3" s="12" t="s">
        <v>817</v>
      </c>
      <c r="E3" s="5" t="s">
        <v>794</v>
      </c>
      <c r="F3" s="17" t="n">
        <v>21</v>
      </c>
      <c r="G3" s="18" t="n">
        <f aca="false">_xlfn.IFS(E3="AED",1,E3="USD",3.673,E3="EUR",4,TRUE(),1)</f>
        <v>3.673</v>
      </c>
      <c r="H3" s="17" t="n">
        <f aca="false">F3*G3</f>
        <v>77.133</v>
      </c>
      <c r="I3" s="5" t="s">
        <v>795</v>
      </c>
      <c r="J3" s="12"/>
      <c r="L3" s="0" t="s">
        <v>793</v>
      </c>
      <c r="M3" s="19" t="n">
        <f aca="false">SUMIFS($H$2:$H$3,$C$2:$C$3,L3)</f>
        <v>0</v>
      </c>
    </row>
    <row r="4" customFormat="false" ht="15" hidden="false" customHeight="false" outlineLevel="0" collapsed="false">
      <c r="L4" s="0" t="s">
        <v>798</v>
      </c>
      <c r="M4" s="19" t="n">
        <f aca="false">SUMIFS($H$2:$H$3,$C$2:$C$3,L4)</f>
        <v>57.5</v>
      </c>
    </row>
    <row r="5" customFormat="false" ht="15" hidden="false" customHeight="false" outlineLevel="0" collapsed="false">
      <c r="D5" s="16" t="s">
        <v>818</v>
      </c>
      <c r="H5" s="20" t="n">
        <f aca="false">SUMPRODUCT((A2:A3&lt;&gt;"")*(H2:H3))</f>
        <v>134.633</v>
      </c>
      <c r="L5" s="0" t="s">
        <v>803</v>
      </c>
      <c r="M5" s="19" t="n">
        <f aca="false">SUMIFS($H$2:$H$3,$C$2:$C$3,L5)</f>
        <v>0</v>
      </c>
    </row>
    <row r="6" customFormat="false" ht="15" hidden="false" customHeight="false" outlineLevel="0" collapsed="false">
      <c r="L6" s="0" t="s">
        <v>805</v>
      </c>
      <c r="M6" s="19" t="n">
        <f aca="false">SUMIFS($H$2:$H$3,$C$2:$C$3,L6)</f>
        <v>0</v>
      </c>
    </row>
    <row r="7" customFormat="false" ht="15" hidden="false" customHeight="false" outlineLevel="0" collapsed="false">
      <c r="L7" s="0" t="s">
        <v>807</v>
      </c>
      <c r="M7" s="19" t="n">
        <f aca="false">SUMIFS($H$2:$H$3,$C$2:$C$3,L7)</f>
        <v>0</v>
      </c>
    </row>
    <row r="8" customFormat="false" ht="15" hidden="false" customHeight="false" outlineLevel="0" collapsed="false">
      <c r="L8" s="0" t="s">
        <v>808</v>
      </c>
      <c r="M8" s="19" t="n">
        <f aca="false">SUMIFS($H$2:$H$3,$C$2:$C$3,L8)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2026-07-08T17:27:02Z</dcterms:created>
  <dc:creator>openpyxl</dc:creator>
  <dc:description/>
  <dc:language>en-US</dc:language>
  <cp:lastModifiedBy/>
  <dcterms:modified xsi:type="dcterms:W3CDTF">2026-07-17T20:40:50Z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