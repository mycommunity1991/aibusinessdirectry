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<sst xmlns="http://schemas.openxmlformats.org/spreadsheetml/2006/main" count="1032" uniqueCount="477">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</sst>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0.425</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78</v>
      </c>
      <c r="C9" s="5"/>
      <c r="D9" s="5"/>
      <c r="F9" s="0" t="str">
        <f aca="false">'Phase Tracker'!B3</f>
        <v>Feature Delivery (Vertical Slices)</v>
      </c>
      <c r="G9" s="7" t="n">
        <f aca="false">'Phase Tracker'!E3</f>
        <v>0.5</v>
      </c>
      <c r="I9" s="0" t="s">
        <v>25</v>
      </c>
      <c r="J9" s="0" t="n">
        <v>0</v>
      </c>
    </row>
    <row r="10" customFormat="false" ht="18" hidden="false" customHeight="true" outlineLevel="0" collapsed="false">
      <c r="A10" s="5" t="s">
        <v>26</v>
      </c>
      <c r="B10" s="5" t="s">
        <v>195</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5</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8</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28</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198</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0.37083333333333335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0.5</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0.5</v>
      </c>
      <c r="K7" s="12" t="str">
        <f aca="false">IF(COUNTIFS(Epics!$B$2:$B$100,B7,Epics!$K$2:$K$100,"*Blocked*")&gt;0,"🚫 Blocked",IF(J7=1,"✅ Completed",IF(J7&gt;0,"🔄 In Progress","⏳ Planned")))</f>
        <v>🔄 In Progress</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1</v>
      </c>
      <c r="I7" s="11" t="n">
        <f aca="false">IFERROR(H7/G7,0)</f>
        <v>0.5</v>
      </c>
      <c r="J7" s="11" t="str">
        <f aca="false">IF(COUNTIFS(Stories!$B$2:$B$200,A7,Stories!$M$2:$M$200,"*Blocked*")&gt;0,"🚫 Blocked",IF(I7=1,"✅ Completed",IF(I7&gt;0,"🔄 In Progress","⏳ Planned")))</f>
        <v>🔄 In Progress</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