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<sst xmlns="http://schemas.openxmlformats.org/spreadsheetml/2006/main" count="1040" uniqueCount="485">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</sst>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0.724</v>
      </c>
      <c r="C7" s="6" t="n">
        <v>1</v>
      </c>
      <c r="D7" s="5" t="str">
        <f aca="false">IF(B7=1,"✅ Completed","🔄 In Progress")</f>
        <v>🔄 In Progress</v>
      </c>
      <c r="F7" s="0" t="s">
        <v>17</v>
      </c>
      <c r="G7" s="0" t="s">
        <v>18</v>
      </c>
      <c r="I7" s="0" t="s">
        <v>19</v>
      </c>
      <c r="J7" s="0" t="n">
        <v>42</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96</v>
      </c>
      <c r="C9" s="5"/>
      <c r="D9" s="5"/>
      <c r="F9" s="0" t="str">
        <f aca="false">'Phase Tracker'!B3</f>
        <v>Feature Delivery (Vertical Slices)</v>
      </c>
      <c r="G9" s="7" t="n">
        <f aca="false">'Phase Tracker'!E3</f>
        <v>0.72</v>
      </c>
      <c r="I9" s="0" t="s">
        <v>25</v>
      </c>
      <c r="J9" s="0" t="n">
        <v>0</v>
      </c>
    </row>
    <row r="10" customFormat="false" ht="18" hidden="false" customHeight="true" outlineLevel="0" collapsed="false">
      <c r="A10" s="5" t="s">
        <v>26</v>
      </c>
      <c r="B10" s="5" t="s">
        <v>213</v>
      </c>
      <c r="C10" s="5"/>
      <c r="D10" s="5"/>
      <c r="F10" s="0" t="str">
        <f aca="false">'Phase Tracker'!B4</f>
        <v>Production Readiness</v>
      </c>
      <c r="G10" s="7" t="n">
        <f aca="false">'Phase Tracker'!E4</f>
        <v>0</v>
      </c>
      <c r="I10" s="0" t="s">
        <v>28</v>
      </c>
      <c r="J10" s="0" t="n">
        <v>5</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11</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18</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42</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216</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0.568</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0.96</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1</v>
      </c>
      <c r="K9" s="12" t="str">
        <f aca="false">IF(COUNTIFS(Epics!$B$2:$B$100,B9,Epics!$K$2:$K$100,"*Blocked*")&gt;0,"🚫 Blocked",IF(J9=1,"✅ Completed",IF(J9&gt;0,"🔄 In Progress","⏳ Planned")))</f>
        <v>✅ Completed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1</v>
      </c>
      <c r="K10" s="12" t="str">
        <f aca="false">IF(COUNTIFS(Epics!$B$2:$B$100,B10,Epics!$K$2:$K$100,"*Blocked*")&gt;0,"🚫 Blocked",IF(J10=1,"✅ Completed",IF(J10&gt;0,"🔄 In Progress","⏳ Planned")))</f>
        <v>✅ Completed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1</v>
      </c>
      <c r="K11" s="12" t="str">
        <f aca="false">IF(COUNTIFS(Epics!$B$2:$B$100,B11,Epics!$K$2:$K$100,"*Blocked*")&gt;0,"🚫 Blocked",IF(J11=1,"✅ Completed",IF(J11&gt;0,"🔄 In Progress","⏳ Planned")))</f>
        <v>✅ Completed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1</v>
      </c>
      <c r="K12" s="12" t="str">
        <f aca="false">IF(COUNTIFS(Epics!$B$2:$B$100,B12,Epics!$K$2:$K$100,"*Blocked*")&gt;0,"🚫 Blocked",IF(J12=1,"✅ Completed",IF(J12&gt;0,"🔄 In Progress","⏳ Planned")))</f>
        <v>✅ Completed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0.5</v>
      </c>
      <c r="K13" s="12" t="str">
        <f aca="false">IF(COUNTIFS(Epics!$B$2:$B$100,B13,Epics!$K$2:$K$100,"*Blocked*")&gt;0,"🚫 Blocked",IF(J13=1,"✅ Completed",IF(J13&gt;0,"🔄 In Progress","⏳ Planned")))</f>
        <v>🔄 In Progress</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1</v>
      </c>
      <c r="K15" s="11" t="str">
        <f aca="false">IF(COUNTIFS(Stories!$C$2:$C$200,C15,Stories!$M$2:$M$200,"*Blocked*")&gt;0,"🚫 Blocked",IF(J15=1,"✅ Completed",IF(J15&gt;0,"🔄 In Progress","⏳ Planned")))</f>
        <v>✅ Completed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1</v>
      </c>
      <c r="K16" s="11" t="str">
        <f aca="false">IF(COUNTIFS(Stories!$C$2:$C$200,C16,Stories!$M$2:$M$200,"*Blocked*")&gt;0,"🚫 Blocked",IF(J16=1,"✅ Completed",IF(J16&gt;0,"🔄 In Progress","⏳ Planned")))</f>
        <v>✅ Completed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1</v>
      </c>
      <c r="K17" s="11" t="str">
        <f aca="false">IF(COUNTIFS(Stories!$C$2:$C$200,C17,Stories!$M$2:$M$200,"*Blocked*")&gt;0,"🚫 Blocked",IF(J17=1,"✅ Completed",IF(J17&gt;0,"🔄 In Progress","⏳ Planned")))</f>
        <v>✅ Completed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1</v>
      </c>
      <c r="K18" s="11" t="str">
        <f aca="false">IF(COUNTIFS(Stories!$C$2:$C$200,C18,Stories!$M$2:$M$200,"*Blocked*")&gt;0,"🚫 Blocked",IF(J18=1,"✅ Completed",IF(J18&gt;0,"🔄 In Progress","⏳ Planned")))</f>
        <v>✅ Completed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0.5</v>
      </c>
      <c r="K19" s="11" t="str">
        <f aca="false">IF(COUNTIFS(Stories!$C$2:$C$200,C19,Stories!$M$2:$M$200,"*Blocked*")&gt;0,"🚫 Blocked",IF(J19=1,"✅ Completed",IF(J19&gt;0,"🔄 In Progress","⏳ Planned")))</f>
        <v>🔄 In Progress</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2</v>
      </c>
      <c r="I9" s="11" t="n">
        <f aca="false">IFERROR(H9/G9,0)</f>
        <v>1</v>
      </c>
      <c r="J9" s="11" t="str">
        <f aca="false">IF(COUNTIFS(Stories!$B$2:$B$200,A9,Stories!$M$2:$M$200,"*Blocked*")&gt;0,"🚫 Blocked",IF(I9=1,"✅ Completed",IF(I9&gt;0,"🔄 In Progress","⏳ Planned")))</f>
        <v>✅ Completed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2</v>
      </c>
      <c r="I10" s="11" t="n">
        <f aca="false">IFERROR(H10/G10,0)</f>
        <v>1</v>
      </c>
      <c r="J10" s="11" t="str">
        <f aca="false">IF(COUNTIFS(Stories!$B$2:$B$200,A10,Stories!$M$2:$M$200,"*Blocked*")&gt;0,"🚫 Blocked",IF(I10=1,"✅ Completed",IF(I10&gt;0,"🔄 In Progress","⏳ Planned")))</f>
        <v>✅ Completed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2</v>
      </c>
      <c r="I11" s="11" t="n">
        <f aca="false">IFERROR(H11/G11,0)</f>
        <v>1</v>
      </c>
      <c r="J11" s="11" t="str">
        <f aca="false">IF(COUNTIFS(Stories!$B$2:$B$200,A11,Stories!$M$2:$M$200,"*Blocked*")&gt;0,"🚫 Blocked",IF(I11=1,"✅ Completed",IF(I11&gt;0,"🔄 In Progress","⏳ Planned")))</f>
        <v>✅ Completed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2</v>
      </c>
      <c r="I12" s="11" t="n">
        <f aca="false">IFERROR(H12/G12,0)</f>
        <v>1</v>
      </c>
      <c r="J12" s="11" t="str">
        <f aca="false">IF(COUNTIFS(Stories!$B$2:$B$200,A12,Stories!$M$2:$M$200,"*Blocked*")&gt;0,"🚫 Blocked",IF(I12=1,"✅ Completed",IF(I12&gt;0,"🔄 In Progress","⏳ Planned")))</f>
        <v>✅ Completed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1</v>
      </c>
      <c r="I13" s="11" t="n">
        <f aca="false">IFERROR(H13/G13,0)</f>
        <v>0.5</v>
      </c>
      <c r="J13" s="11" t="str">
        <f aca="false">IF(COUNTIFS(Stories!$B$2:$B$200,A13,Stories!$M$2:$M$200,"*Blocked*")&gt;0,"🚫 Blocked",IF(I13=1,"✅ Completed",IF(I13&gt;0,"🔄 In Progress","⏳ Planned")))</f>
        <v>🔄 In Progress</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1</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1</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1</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19</v>
      </c>
      <c r="N35" s="10"/>
      <c r="O35" s="10" t="s">
        <v>353</v>
      </c>
      <c r="P35" s="10" t="n">
        <f aca="false">IF(ISNUMBER(SEARCH("Done",M35)),1,IF(ISNUMBER(SEARCH("In Progress",M35)),0.5,0))</f>
        <v>1</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19</v>
      </c>
      <c r="N36" s="10"/>
      <c r="O36" s="10" t="s">
        <v>357</v>
      </c>
      <c r="P36" s="10" t="n">
        <f aca="false">IF(ISNUMBER(SEARCH("Done",M36)),1,IF(ISNUMBER(SEARCH("In Progress",M36)),0.5,0))</f>
        <v>1</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19</v>
      </c>
      <c r="N37" s="10"/>
      <c r="O37" s="10" t="s">
        <v>361</v>
      </c>
      <c r="P37" s="10" t="n">
        <f aca="false">IF(ISNUMBER(SEARCH("Done",M37)),1,IF(ISNUMBER(SEARCH("In Progress",M37)),0.5,0))</f>
        <v>1</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19</v>
      </c>
      <c r="N38" s="10"/>
      <c r="O38" s="10" t="s">
        <v>357</v>
      </c>
      <c r="P38" s="10" t="n">
        <f aca="false">IF(ISNUMBER(SEARCH("Done",M38)),1,IF(ISNUMBER(SEARCH("In Progress",M38)),0.5,0))</f>
        <v>1</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19</v>
      </c>
      <c r="N39" s="10"/>
      <c r="O39" s="10" t="s">
        <v>369</v>
      </c>
      <c r="P39" s="10" t="n">
        <f aca="false">IF(ISNUMBER(SEARCH("Done",M39)),1,IF(ISNUMBER(SEARCH("In Progress",M39)),0.5,0))</f>
        <v>1</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19</v>
      </c>
      <c r="N40" s="10"/>
      <c r="O40" s="10" t="s">
        <v>349</v>
      </c>
      <c r="P40" s="10" t="n">
        <f aca="false">IF(ISNUMBER(SEARCH("Done",M40)),1,IF(ISNUMBER(SEARCH("In Progress",M40)),0.5,0))</f>
        <v>1</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19</v>
      </c>
      <c r="N41" s="10"/>
      <c r="O41" s="10" t="s">
        <v>385</v>
      </c>
      <c r="P41" s="10" t="n">
        <f aca="false">IF(ISNUMBER(SEARCH("Done",M41)),1,IF(ISNUMBER(SEARCH("In Progress",M41)),0.5,0))</f>
        <v>1</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19</v>
      </c>
      <c r="N42" s="10"/>
      <c r="O42" s="10" t="s">
        <v>390</v>
      </c>
      <c r="P42" s="10" t="n">
        <f aca="false">IF(ISNUMBER(SEARCH("Done",M42)),1,IF(ISNUMBER(SEARCH("In Progress",M42)),0.5,0))</f>
        <v>1</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